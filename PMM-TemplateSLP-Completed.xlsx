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D123E9B-F46B-4152-B02B-0448057A6BE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ta" sheetId="1" r:id="rId1"/>
    <sheet name="SLP-Training" sheetId="2" r:id="rId2"/>
    <sheet name="SLP-Valida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8" i="3" l="1"/>
  <c r="AB7" i="3"/>
  <c r="AB5" i="3"/>
  <c r="AA8" i="3"/>
  <c r="AA7" i="3"/>
  <c r="AB6" i="3"/>
  <c r="AA6" i="3"/>
  <c r="AA5" i="3"/>
  <c r="AB4" i="3"/>
  <c r="AA4" i="3"/>
  <c r="H84" i="2"/>
  <c r="N5" i="2"/>
  <c r="O5" i="2" s="1"/>
  <c r="P5" i="2" l="1"/>
  <c r="Q5" i="2"/>
  <c r="R5" i="2" s="1"/>
  <c r="T5" i="2"/>
  <c r="I6" i="2" s="1"/>
  <c r="U5" i="2"/>
  <c r="J6" i="2" s="1"/>
  <c r="V5" i="2"/>
  <c r="K6" i="2" s="1"/>
  <c r="W5" i="2"/>
  <c r="L6" i="2" s="1"/>
  <c r="X5" i="2"/>
  <c r="M6" i="2" s="1"/>
  <c r="N6" i="2" l="1"/>
  <c r="O6" i="2" s="1"/>
  <c r="P6" i="2" l="1"/>
  <c r="Q6" i="2"/>
  <c r="R6" i="2" s="1"/>
  <c r="T6" i="2"/>
  <c r="I7" i="2" s="1"/>
  <c r="U6" i="2"/>
  <c r="J7" i="2" s="1"/>
  <c r="V6" i="2"/>
  <c r="K7" i="2" s="1"/>
  <c r="W6" i="2"/>
  <c r="L7" i="2" s="1"/>
  <c r="X6" i="2"/>
  <c r="M7" i="2" s="1"/>
  <c r="N7" i="2" l="1"/>
  <c r="O7" i="2" s="1"/>
  <c r="X7" i="2" l="1"/>
  <c r="M8" i="2" s="1"/>
  <c r="W7" i="2"/>
  <c r="L8" i="2" s="1"/>
  <c r="V7" i="2"/>
  <c r="K8" i="2" s="1"/>
  <c r="U7" i="2"/>
  <c r="J8" i="2" s="1"/>
  <c r="J9" i="2" s="1"/>
  <c r="T7" i="2"/>
  <c r="I8" i="2" s="1"/>
  <c r="Q7" i="2"/>
  <c r="R7" i="2" s="1"/>
  <c r="P7" i="2"/>
  <c r="N8" i="2" l="1"/>
  <c r="O8" i="2" s="1"/>
  <c r="P8" i="2" l="1"/>
  <c r="Q8" i="2"/>
  <c r="R8" i="2" s="1"/>
  <c r="T8" i="2"/>
  <c r="I9" i="2" s="1"/>
  <c r="V8" i="2"/>
  <c r="K9" i="2" s="1"/>
  <c r="W8" i="2"/>
  <c r="L9" i="2" s="1"/>
  <c r="X8" i="2"/>
  <c r="M9" i="2" s="1"/>
  <c r="N9" i="2" l="1"/>
  <c r="O9" i="2" s="1"/>
  <c r="P9" i="2" s="1"/>
  <c r="Q9" i="2" l="1"/>
  <c r="R9" i="2" s="1"/>
  <c r="T9" i="2"/>
  <c r="I10" i="2" s="1"/>
  <c r="U9" i="2"/>
  <c r="J10" i="2" s="1"/>
  <c r="V9" i="2"/>
  <c r="K10" i="2" s="1"/>
  <c r="W9" i="2"/>
  <c r="L10" i="2" s="1"/>
  <c r="X9" i="2"/>
  <c r="M10" i="2" s="1"/>
  <c r="N10" i="2" l="1"/>
  <c r="O10" i="2" s="1"/>
  <c r="T10" i="2"/>
  <c r="I11" i="2" s="1"/>
  <c r="P10" i="2" l="1"/>
  <c r="Q10" i="2"/>
  <c r="R10" i="2" s="1"/>
  <c r="V10" i="2"/>
  <c r="K11" i="2" s="1"/>
  <c r="W10" i="2"/>
  <c r="L11" i="2" s="1"/>
  <c r="X10" i="2"/>
  <c r="M11" i="2" s="1"/>
  <c r="U10" i="2"/>
  <c r="J11" i="2" s="1"/>
  <c r="N11" i="2" l="1"/>
  <c r="O11" i="2" s="1"/>
  <c r="P11" i="2" l="1"/>
  <c r="Q11" i="2"/>
  <c r="R11" i="2" s="1"/>
  <c r="T11" i="2"/>
  <c r="I12" i="2" s="1"/>
  <c r="V11" i="2"/>
  <c r="K12" i="2" s="1"/>
  <c r="W11" i="2"/>
  <c r="L12" i="2" s="1"/>
  <c r="X11" i="2"/>
  <c r="M12" i="2" s="1"/>
  <c r="U11" i="2"/>
  <c r="J12" i="2" s="1"/>
  <c r="N12" i="2" l="1"/>
  <c r="O12" i="2" s="1"/>
  <c r="T12" i="2" l="1"/>
  <c r="I13" i="2" s="1"/>
  <c r="N13" i="2" s="1"/>
  <c r="O13" i="2" s="1"/>
  <c r="U12" i="2"/>
  <c r="J13" i="2" s="1"/>
  <c r="W12" i="2"/>
  <c r="L13" i="2" s="1"/>
  <c r="X12" i="2"/>
  <c r="M13" i="2" s="1"/>
  <c r="P12" i="2"/>
  <c r="Q12" i="2"/>
  <c r="R12" i="2" s="1"/>
  <c r="V12" i="2"/>
  <c r="K13" i="2" s="1"/>
  <c r="P13" i="2" l="1"/>
  <c r="Q13" i="2"/>
  <c r="R13" i="2" s="1"/>
  <c r="T13" i="2"/>
  <c r="I14" i="2" s="1"/>
  <c r="U13" i="2"/>
  <c r="J14" i="2" s="1"/>
  <c r="V13" i="2"/>
  <c r="K14" i="2" s="1"/>
  <c r="W13" i="2"/>
  <c r="L14" i="2" s="1"/>
  <c r="X13" i="2"/>
  <c r="M14" i="2" s="1"/>
  <c r="N14" i="2" l="1"/>
  <c r="O14" i="2" s="1"/>
  <c r="P14" i="2" l="1"/>
  <c r="Q14" i="2"/>
  <c r="R14" i="2" s="1"/>
  <c r="T14" i="2"/>
  <c r="I15" i="2" s="1"/>
  <c r="U14" i="2"/>
  <c r="J15" i="2" s="1"/>
  <c r="V14" i="2"/>
  <c r="K15" i="2" s="1"/>
  <c r="W14" i="2"/>
  <c r="L15" i="2" s="1"/>
  <c r="X14" i="2"/>
  <c r="M15" i="2" s="1"/>
  <c r="N15" i="2" l="1"/>
  <c r="O15" i="2" s="1"/>
  <c r="P15" i="2" l="1"/>
  <c r="Q15" i="2"/>
  <c r="R15" i="2" s="1"/>
  <c r="T15" i="2"/>
  <c r="I16" i="2" s="1"/>
  <c r="U15" i="2"/>
  <c r="J16" i="2" s="1"/>
  <c r="V15" i="2"/>
  <c r="K16" i="2" s="1"/>
  <c r="W15" i="2"/>
  <c r="L16" i="2" s="1"/>
  <c r="X15" i="2"/>
  <c r="M16" i="2" s="1"/>
  <c r="N16" i="2" l="1"/>
  <c r="O16" i="2" s="1"/>
  <c r="P16" i="2" l="1"/>
  <c r="Q16" i="2"/>
  <c r="R16" i="2" s="1"/>
  <c r="T16" i="2"/>
  <c r="I17" i="2" s="1"/>
  <c r="U16" i="2"/>
  <c r="J17" i="2" s="1"/>
  <c r="V16" i="2"/>
  <c r="K17" i="2" s="1"/>
  <c r="W16" i="2"/>
  <c r="L17" i="2" s="1"/>
  <c r="X16" i="2"/>
  <c r="M17" i="2" s="1"/>
  <c r="N17" i="2" l="1"/>
  <c r="O17" i="2" s="1"/>
  <c r="P17" i="2" l="1"/>
  <c r="Q17" i="2"/>
  <c r="R17" i="2" s="1"/>
  <c r="T17" i="2"/>
  <c r="I18" i="2" s="1"/>
  <c r="U17" i="2"/>
  <c r="J18" i="2" s="1"/>
  <c r="V17" i="2"/>
  <c r="K18" i="2" s="1"/>
  <c r="W17" i="2"/>
  <c r="L18" i="2" s="1"/>
  <c r="X17" i="2"/>
  <c r="M18" i="2" s="1"/>
  <c r="N18" i="2" l="1"/>
  <c r="O18" i="2" s="1"/>
  <c r="P18" i="2" l="1"/>
  <c r="Q18" i="2"/>
  <c r="R18" i="2" s="1"/>
  <c r="T18" i="2"/>
  <c r="I19" i="2" s="1"/>
  <c r="U18" i="2"/>
  <c r="J19" i="2" s="1"/>
  <c r="V18" i="2"/>
  <c r="K19" i="2" s="1"/>
  <c r="W18" i="2"/>
  <c r="L19" i="2" s="1"/>
  <c r="X18" i="2"/>
  <c r="M19" i="2" s="1"/>
  <c r="N19" i="2" l="1"/>
  <c r="O19" i="2" s="1"/>
  <c r="P19" i="2" l="1"/>
  <c r="Q19" i="2"/>
  <c r="R19" i="2" s="1"/>
  <c r="T19" i="2"/>
  <c r="I20" i="2" s="1"/>
  <c r="U19" i="2"/>
  <c r="J20" i="2" s="1"/>
  <c r="V19" i="2"/>
  <c r="K20" i="2" s="1"/>
  <c r="W19" i="2"/>
  <c r="L20" i="2" s="1"/>
  <c r="X19" i="2"/>
  <c r="M20" i="2" s="1"/>
  <c r="N20" i="2" l="1"/>
  <c r="O20" i="2" s="1"/>
  <c r="P20" i="2" l="1"/>
  <c r="Q20" i="2"/>
  <c r="R20" i="2" s="1"/>
  <c r="T20" i="2"/>
  <c r="I21" i="2" s="1"/>
  <c r="U20" i="2"/>
  <c r="J21" i="2" s="1"/>
  <c r="V20" i="2"/>
  <c r="K21" i="2" s="1"/>
  <c r="W20" i="2"/>
  <c r="L21" i="2" s="1"/>
  <c r="X20" i="2"/>
  <c r="M21" i="2" s="1"/>
  <c r="N21" i="2" l="1"/>
  <c r="O21" i="2" s="1"/>
  <c r="P21" i="2" l="1"/>
  <c r="Q21" i="2"/>
  <c r="R21" i="2" s="1"/>
  <c r="T21" i="2"/>
  <c r="I22" i="2" s="1"/>
  <c r="U21" i="2"/>
  <c r="J22" i="2" s="1"/>
  <c r="V21" i="2"/>
  <c r="K22" i="2" s="1"/>
  <c r="W21" i="2"/>
  <c r="L22" i="2" s="1"/>
  <c r="X21" i="2"/>
  <c r="M22" i="2" s="1"/>
  <c r="N22" i="2" l="1"/>
  <c r="O22" i="2" s="1"/>
  <c r="P22" i="2" l="1"/>
  <c r="Q22" i="2"/>
  <c r="R22" i="2" s="1"/>
  <c r="T22" i="2"/>
  <c r="I23" i="2" s="1"/>
  <c r="U22" i="2"/>
  <c r="J23" i="2" s="1"/>
  <c r="V22" i="2"/>
  <c r="K23" i="2" s="1"/>
  <c r="W22" i="2"/>
  <c r="L23" i="2" s="1"/>
  <c r="X22" i="2"/>
  <c r="M23" i="2" s="1"/>
  <c r="N23" i="2" l="1"/>
  <c r="O23" i="2" s="1"/>
  <c r="P23" i="2" l="1"/>
  <c r="Q23" i="2"/>
  <c r="R23" i="2" s="1"/>
  <c r="T23" i="2"/>
  <c r="I24" i="2" s="1"/>
  <c r="U23" i="2"/>
  <c r="J24" i="2" s="1"/>
  <c r="V23" i="2"/>
  <c r="K24" i="2" s="1"/>
  <c r="W23" i="2"/>
  <c r="L24" i="2" s="1"/>
  <c r="X23" i="2"/>
  <c r="M24" i="2" s="1"/>
  <c r="N24" i="2" l="1"/>
  <c r="O24" i="2" s="1"/>
  <c r="P24" i="2" l="1"/>
  <c r="Q24" i="2"/>
  <c r="R24" i="2" s="1"/>
  <c r="T24" i="2"/>
  <c r="I25" i="2" s="1"/>
  <c r="U24" i="2"/>
  <c r="J25" i="2" s="1"/>
  <c r="V24" i="2"/>
  <c r="K25" i="2" s="1"/>
  <c r="W24" i="2"/>
  <c r="L25" i="2" s="1"/>
  <c r="X24" i="2"/>
  <c r="M25" i="2" s="1"/>
  <c r="N25" i="2" l="1"/>
  <c r="O25" i="2" s="1"/>
  <c r="P25" i="2" l="1"/>
  <c r="Q25" i="2"/>
  <c r="R25" i="2" s="1"/>
  <c r="T25" i="2"/>
  <c r="I26" i="2" s="1"/>
  <c r="U25" i="2"/>
  <c r="J26" i="2" s="1"/>
  <c r="V25" i="2"/>
  <c r="K26" i="2" s="1"/>
  <c r="W25" i="2"/>
  <c r="L26" i="2" s="1"/>
  <c r="X25" i="2"/>
  <c r="M26" i="2" s="1"/>
  <c r="N26" i="2" l="1"/>
  <c r="O26" i="2" s="1"/>
  <c r="P26" i="2" l="1"/>
  <c r="Q26" i="2"/>
  <c r="R26" i="2" s="1"/>
  <c r="T26" i="2"/>
  <c r="I27" i="2" s="1"/>
  <c r="U26" i="2"/>
  <c r="J27" i="2" s="1"/>
  <c r="V26" i="2"/>
  <c r="K27" i="2" s="1"/>
  <c r="W26" i="2"/>
  <c r="L27" i="2" s="1"/>
  <c r="X26" i="2"/>
  <c r="M27" i="2" s="1"/>
  <c r="N27" i="2" l="1"/>
  <c r="O27" i="2" s="1"/>
  <c r="P27" i="2" l="1"/>
  <c r="Q27" i="2"/>
  <c r="R27" i="2" s="1"/>
  <c r="T27" i="2"/>
  <c r="I28" i="2" s="1"/>
  <c r="U27" i="2"/>
  <c r="J28" i="2" s="1"/>
  <c r="V27" i="2"/>
  <c r="K28" i="2" s="1"/>
  <c r="W27" i="2"/>
  <c r="L28" i="2" s="1"/>
  <c r="X27" i="2"/>
  <c r="M28" i="2" s="1"/>
  <c r="N28" i="2" l="1"/>
  <c r="O28" i="2" s="1"/>
  <c r="P28" i="2" l="1"/>
  <c r="Q28" i="2"/>
  <c r="R28" i="2" s="1"/>
  <c r="T28" i="2"/>
  <c r="I29" i="2" s="1"/>
  <c r="U28" i="2"/>
  <c r="J29" i="2" s="1"/>
  <c r="V28" i="2"/>
  <c r="K29" i="2" s="1"/>
  <c r="W28" i="2"/>
  <c r="L29" i="2" s="1"/>
  <c r="X28" i="2"/>
  <c r="M29" i="2" s="1"/>
  <c r="N29" i="2" l="1"/>
  <c r="O29" i="2" s="1"/>
  <c r="P29" i="2" l="1"/>
  <c r="Q29" i="2"/>
  <c r="R29" i="2" s="1"/>
  <c r="T29" i="2"/>
  <c r="I30" i="2" s="1"/>
  <c r="U29" i="2"/>
  <c r="J30" i="2" s="1"/>
  <c r="V29" i="2"/>
  <c r="K30" i="2" s="1"/>
  <c r="W29" i="2"/>
  <c r="L30" i="2" s="1"/>
  <c r="X29" i="2"/>
  <c r="M30" i="2" s="1"/>
  <c r="N30" i="2" l="1"/>
  <c r="O30" i="2" s="1"/>
  <c r="P30" i="2" l="1"/>
  <c r="Q30" i="2"/>
  <c r="R30" i="2" s="1"/>
  <c r="T30" i="2"/>
  <c r="I31" i="2" s="1"/>
  <c r="U30" i="2"/>
  <c r="J31" i="2" s="1"/>
  <c r="V30" i="2"/>
  <c r="K31" i="2" s="1"/>
  <c r="W30" i="2"/>
  <c r="L31" i="2" s="1"/>
  <c r="X30" i="2"/>
  <c r="M31" i="2" s="1"/>
  <c r="N31" i="2" l="1"/>
  <c r="O31" i="2" s="1"/>
  <c r="P31" i="2" l="1"/>
  <c r="Q31" i="2"/>
  <c r="R31" i="2" s="1"/>
  <c r="T31" i="2"/>
  <c r="I32" i="2" s="1"/>
  <c r="U31" i="2"/>
  <c r="J32" i="2" s="1"/>
  <c r="V31" i="2"/>
  <c r="K32" i="2" s="1"/>
  <c r="W31" i="2"/>
  <c r="L32" i="2" s="1"/>
  <c r="X31" i="2"/>
  <c r="M32" i="2" s="1"/>
  <c r="N32" i="2" l="1"/>
  <c r="O32" i="2" s="1"/>
  <c r="P32" i="2" l="1"/>
  <c r="Q32" i="2"/>
  <c r="R32" i="2" s="1"/>
  <c r="T32" i="2"/>
  <c r="I33" i="2" s="1"/>
  <c r="U32" i="2"/>
  <c r="J33" i="2" s="1"/>
  <c r="V32" i="2"/>
  <c r="K33" i="2" s="1"/>
  <c r="W32" i="2"/>
  <c r="L33" i="2" s="1"/>
  <c r="X32" i="2"/>
  <c r="M33" i="2" s="1"/>
  <c r="N33" i="2" l="1"/>
  <c r="O33" i="2" s="1"/>
  <c r="P33" i="2" l="1"/>
  <c r="Q33" i="2"/>
  <c r="R33" i="2" s="1"/>
  <c r="T33" i="2"/>
  <c r="I34" i="2" s="1"/>
  <c r="U33" i="2"/>
  <c r="J34" i="2" s="1"/>
  <c r="V33" i="2"/>
  <c r="K34" i="2" s="1"/>
  <c r="W33" i="2"/>
  <c r="L34" i="2" s="1"/>
  <c r="X33" i="2"/>
  <c r="M34" i="2" s="1"/>
  <c r="N34" i="2" l="1"/>
  <c r="O34" i="2" s="1"/>
  <c r="P34" i="2" l="1"/>
  <c r="Q34" i="2"/>
  <c r="R34" i="2" s="1"/>
  <c r="T34" i="2"/>
  <c r="I35" i="2" s="1"/>
  <c r="U34" i="2"/>
  <c r="J35" i="2" s="1"/>
  <c r="V34" i="2"/>
  <c r="K35" i="2" s="1"/>
  <c r="W34" i="2"/>
  <c r="L35" i="2" s="1"/>
  <c r="X34" i="2"/>
  <c r="M35" i="2" s="1"/>
  <c r="N35" i="2" l="1"/>
  <c r="O35" i="2" s="1"/>
  <c r="P35" i="2" l="1"/>
  <c r="Q35" i="2"/>
  <c r="R35" i="2" s="1"/>
  <c r="T35" i="2"/>
  <c r="I36" i="2" s="1"/>
  <c r="U35" i="2"/>
  <c r="J36" i="2" s="1"/>
  <c r="V35" i="2"/>
  <c r="K36" i="2" s="1"/>
  <c r="W35" i="2"/>
  <c r="L36" i="2" s="1"/>
  <c r="X35" i="2"/>
  <c r="M36" i="2" s="1"/>
  <c r="N36" i="2" l="1"/>
  <c r="O36" i="2" s="1"/>
  <c r="P36" i="2" l="1"/>
  <c r="Q36" i="2"/>
  <c r="R36" i="2" s="1"/>
  <c r="T36" i="2"/>
  <c r="I37" i="2" s="1"/>
  <c r="U36" i="2"/>
  <c r="J37" i="2" s="1"/>
  <c r="V36" i="2"/>
  <c r="K37" i="2" s="1"/>
  <c r="W36" i="2"/>
  <c r="L37" i="2" s="1"/>
  <c r="X36" i="2"/>
  <c r="M37" i="2" s="1"/>
  <c r="N37" i="2" l="1"/>
  <c r="O37" i="2" s="1"/>
  <c r="P37" i="2" l="1"/>
  <c r="Q37" i="2"/>
  <c r="R37" i="2" s="1"/>
  <c r="T37" i="2"/>
  <c r="I38" i="2" s="1"/>
  <c r="U37" i="2"/>
  <c r="J38" i="2" s="1"/>
  <c r="V37" i="2"/>
  <c r="K38" i="2" s="1"/>
  <c r="W37" i="2"/>
  <c r="L38" i="2" s="1"/>
  <c r="X37" i="2"/>
  <c r="M38" i="2" s="1"/>
  <c r="N38" i="2" l="1"/>
  <c r="O38" i="2" s="1"/>
  <c r="P38" i="2" l="1"/>
  <c r="Q38" i="2"/>
  <c r="R38" i="2" s="1"/>
  <c r="T38" i="2"/>
  <c r="I39" i="2" s="1"/>
  <c r="U38" i="2"/>
  <c r="J39" i="2" s="1"/>
  <c r="V38" i="2"/>
  <c r="K39" i="2" s="1"/>
  <c r="W38" i="2"/>
  <c r="L39" i="2" s="1"/>
  <c r="X38" i="2"/>
  <c r="M39" i="2" s="1"/>
  <c r="N39" i="2" l="1"/>
  <c r="O39" i="2" s="1"/>
  <c r="P39" i="2" l="1"/>
  <c r="Q39" i="2"/>
  <c r="R39" i="2" s="1"/>
  <c r="T39" i="2"/>
  <c r="I40" i="2" s="1"/>
  <c r="U39" i="2"/>
  <c r="J40" i="2" s="1"/>
  <c r="V39" i="2"/>
  <c r="K40" i="2" s="1"/>
  <c r="W39" i="2"/>
  <c r="L40" i="2" s="1"/>
  <c r="X39" i="2"/>
  <c r="M40" i="2" s="1"/>
  <c r="N40" i="2" l="1"/>
  <c r="O40" i="2" s="1"/>
  <c r="P40" i="2" l="1"/>
  <c r="Q40" i="2"/>
  <c r="R40" i="2" s="1"/>
  <c r="T40" i="2"/>
  <c r="I41" i="2" s="1"/>
  <c r="U40" i="2"/>
  <c r="J41" i="2" s="1"/>
  <c r="V40" i="2"/>
  <c r="K41" i="2" s="1"/>
  <c r="W40" i="2"/>
  <c r="L41" i="2" s="1"/>
  <c r="X40" i="2"/>
  <c r="M41" i="2" s="1"/>
  <c r="N41" i="2" l="1"/>
  <c r="O41" i="2" s="1"/>
  <c r="P41" i="2" l="1"/>
  <c r="Q41" i="2"/>
  <c r="R41" i="2" s="1"/>
  <c r="T41" i="2"/>
  <c r="I42" i="2" s="1"/>
  <c r="U41" i="2"/>
  <c r="J42" i="2" s="1"/>
  <c r="V41" i="2"/>
  <c r="K42" i="2" s="1"/>
  <c r="W41" i="2"/>
  <c r="L42" i="2" s="1"/>
  <c r="X41" i="2"/>
  <c r="M42" i="2" s="1"/>
  <c r="N42" i="2" l="1"/>
  <c r="O42" i="2" s="1"/>
  <c r="P42" i="2" l="1"/>
  <c r="Q42" i="2"/>
  <c r="R42" i="2" s="1"/>
  <c r="T42" i="2"/>
  <c r="I43" i="2" s="1"/>
  <c r="U42" i="2"/>
  <c r="J43" i="2" s="1"/>
  <c r="V42" i="2"/>
  <c r="K43" i="2" s="1"/>
  <c r="W42" i="2"/>
  <c r="L43" i="2" s="1"/>
  <c r="X42" i="2"/>
  <c r="M43" i="2" s="1"/>
  <c r="N43" i="2" l="1"/>
  <c r="O43" i="2" s="1"/>
  <c r="P43" i="2" l="1"/>
  <c r="Q43" i="2"/>
  <c r="R43" i="2" s="1"/>
  <c r="T43" i="2"/>
  <c r="I44" i="2" s="1"/>
  <c r="U43" i="2"/>
  <c r="J44" i="2" s="1"/>
  <c r="V43" i="2"/>
  <c r="K44" i="2" s="1"/>
  <c r="W43" i="2"/>
  <c r="L44" i="2" s="1"/>
  <c r="X43" i="2"/>
  <c r="M44" i="2" s="1"/>
  <c r="N44" i="2" l="1"/>
  <c r="O44" i="2" s="1"/>
  <c r="P44" i="2" l="1"/>
  <c r="Q44" i="2"/>
  <c r="R44" i="2" s="1"/>
  <c r="T44" i="2"/>
  <c r="I45" i="2" s="1"/>
  <c r="U44" i="2"/>
  <c r="J45" i="2" s="1"/>
  <c r="V44" i="2"/>
  <c r="K45" i="2" s="1"/>
  <c r="W44" i="2"/>
  <c r="L45" i="2" s="1"/>
  <c r="X44" i="2"/>
  <c r="M45" i="2" s="1"/>
  <c r="N45" i="2" l="1"/>
  <c r="O45" i="2" s="1"/>
  <c r="P45" i="2" l="1"/>
  <c r="Q45" i="2"/>
  <c r="R45" i="2" s="1"/>
  <c r="T45" i="2"/>
  <c r="I46" i="2" s="1"/>
  <c r="U45" i="2"/>
  <c r="J46" i="2" s="1"/>
  <c r="V45" i="2"/>
  <c r="K46" i="2" s="1"/>
  <c r="W45" i="2"/>
  <c r="L46" i="2" s="1"/>
  <c r="X45" i="2"/>
  <c r="M46" i="2" s="1"/>
  <c r="N46" i="2" l="1"/>
  <c r="O46" i="2" s="1"/>
  <c r="P46" i="2" l="1"/>
  <c r="Q46" i="2"/>
  <c r="R46" i="2" s="1"/>
  <c r="T46" i="2"/>
  <c r="I47" i="2" s="1"/>
  <c r="U46" i="2"/>
  <c r="J47" i="2" s="1"/>
  <c r="V46" i="2"/>
  <c r="K47" i="2" s="1"/>
  <c r="W46" i="2"/>
  <c r="L47" i="2" s="1"/>
  <c r="X46" i="2"/>
  <c r="M47" i="2" s="1"/>
  <c r="N47" i="2" l="1"/>
  <c r="O47" i="2" s="1"/>
  <c r="P47" i="2" l="1"/>
  <c r="Q47" i="2"/>
  <c r="R47" i="2" s="1"/>
  <c r="T47" i="2"/>
  <c r="I48" i="2" s="1"/>
  <c r="U47" i="2"/>
  <c r="J48" i="2" s="1"/>
  <c r="V47" i="2"/>
  <c r="K48" i="2" s="1"/>
  <c r="W47" i="2"/>
  <c r="L48" i="2" s="1"/>
  <c r="X47" i="2"/>
  <c r="M48" i="2" s="1"/>
  <c r="N48" i="2" l="1"/>
  <c r="O48" i="2" s="1"/>
  <c r="P48" i="2" l="1"/>
  <c r="Q48" i="2"/>
  <c r="R48" i="2" s="1"/>
  <c r="T48" i="2"/>
  <c r="I49" i="2" s="1"/>
  <c r="U48" i="2"/>
  <c r="J49" i="2" s="1"/>
  <c r="V48" i="2"/>
  <c r="K49" i="2" s="1"/>
  <c r="W48" i="2"/>
  <c r="L49" i="2" s="1"/>
  <c r="X48" i="2"/>
  <c r="M49" i="2" s="1"/>
  <c r="N49" i="2" l="1"/>
  <c r="O49" i="2" s="1"/>
  <c r="P49" i="2" l="1"/>
  <c r="Q49" i="2"/>
  <c r="R49" i="2" s="1"/>
  <c r="T49" i="2"/>
  <c r="I50" i="2" s="1"/>
  <c r="U49" i="2"/>
  <c r="J50" i="2" s="1"/>
  <c r="V49" i="2"/>
  <c r="K50" i="2" s="1"/>
  <c r="W49" i="2"/>
  <c r="L50" i="2" s="1"/>
  <c r="X49" i="2"/>
  <c r="M50" i="2" s="1"/>
  <c r="N50" i="2" l="1"/>
  <c r="O50" i="2" s="1"/>
  <c r="P50" i="2" l="1"/>
  <c r="Q50" i="2"/>
  <c r="R50" i="2" s="1"/>
  <c r="T50" i="2"/>
  <c r="I51" i="2" s="1"/>
  <c r="U50" i="2"/>
  <c r="J51" i="2" s="1"/>
  <c r="V50" i="2"/>
  <c r="K51" i="2" s="1"/>
  <c r="W50" i="2"/>
  <c r="L51" i="2" s="1"/>
  <c r="X50" i="2"/>
  <c r="M51" i="2" s="1"/>
  <c r="N51" i="2" l="1"/>
  <c r="O51" i="2" s="1"/>
  <c r="P51" i="2" l="1"/>
  <c r="Q51" i="2"/>
  <c r="R51" i="2" s="1"/>
  <c r="T51" i="2"/>
  <c r="I52" i="2" s="1"/>
  <c r="U51" i="2"/>
  <c r="J52" i="2" s="1"/>
  <c r="V51" i="2"/>
  <c r="K52" i="2" s="1"/>
  <c r="W51" i="2"/>
  <c r="L52" i="2" s="1"/>
  <c r="X51" i="2"/>
  <c r="M52" i="2" s="1"/>
  <c r="N52" i="2" l="1"/>
  <c r="O52" i="2" s="1"/>
  <c r="P52" i="2" l="1"/>
  <c r="Q52" i="2"/>
  <c r="R52" i="2" s="1"/>
  <c r="T52" i="2"/>
  <c r="I53" i="2" s="1"/>
  <c r="U52" i="2"/>
  <c r="J53" i="2" s="1"/>
  <c r="V52" i="2"/>
  <c r="K53" i="2" s="1"/>
  <c r="W52" i="2"/>
  <c r="L53" i="2" s="1"/>
  <c r="X52" i="2"/>
  <c r="M53" i="2" s="1"/>
  <c r="N53" i="2" l="1"/>
  <c r="O53" i="2" s="1"/>
  <c r="P53" i="2" l="1"/>
  <c r="Q53" i="2"/>
  <c r="R53" i="2" s="1"/>
  <c r="T53" i="2"/>
  <c r="I54" i="2" s="1"/>
  <c r="U53" i="2"/>
  <c r="J54" i="2" s="1"/>
  <c r="V53" i="2"/>
  <c r="K54" i="2" s="1"/>
  <c r="W53" i="2"/>
  <c r="L54" i="2" s="1"/>
  <c r="X53" i="2"/>
  <c r="M54" i="2" s="1"/>
  <c r="N54" i="2" l="1"/>
  <c r="O54" i="2" s="1"/>
  <c r="P54" i="2" l="1"/>
  <c r="Q54" i="2"/>
  <c r="R54" i="2" s="1"/>
  <c r="T54" i="2"/>
  <c r="I55" i="2" s="1"/>
  <c r="U54" i="2"/>
  <c r="J55" i="2" s="1"/>
  <c r="V54" i="2"/>
  <c r="K55" i="2" s="1"/>
  <c r="W54" i="2"/>
  <c r="L55" i="2" s="1"/>
  <c r="X54" i="2"/>
  <c r="M55" i="2" s="1"/>
  <c r="N55" i="2" l="1"/>
  <c r="O55" i="2" s="1"/>
  <c r="P55" i="2" l="1"/>
  <c r="Q55" i="2"/>
  <c r="R55" i="2" s="1"/>
  <c r="T55" i="2"/>
  <c r="I56" i="2" s="1"/>
  <c r="U55" i="2"/>
  <c r="J56" i="2" s="1"/>
  <c r="V55" i="2"/>
  <c r="K56" i="2" s="1"/>
  <c r="W55" i="2"/>
  <c r="L56" i="2" s="1"/>
  <c r="X55" i="2"/>
  <c r="M56" i="2" s="1"/>
  <c r="N56" i="2" l="1"/>
  <c r="O56" i="2" s="1"/>
  <c r="P56" i="2" l="1"/>
  <c r="Q56" i="2"/>
  <c r="R56" i="2" s="1"/>
  <c r="T56" i="2"/>
  <c r="I57" i="2" s="1"/>
  <c r="U56" i="2"/>
  <c r="J57" i="2" s="1"/>
  <c r="V56" i="2"/>
  <c r="K57" i="2" s="1"/>
  <c r="W56" i="2"/>
  <c r="L57" i="2" s="1"/>
  <c r="X56" i="2"/>
  <c r="M57" i="2" s="1"/>
  <c r="N57" i="2" l="1"/>
  <c r="O57" i="2" s="1"/>
  <c r="P57" i="2" l="1"/>
  <c r="Q57" i="2"/>
  <c r="R57" i="2" s="1"/>
  <c r="T57" i="2"/>
  <c r="I58" i="2" s="1"/>
  <c r="U57" i="2"/>
  <c r="J58" i="2" s="1"/>
  <c r="V57" i="2"/>
  <c r="K58" i="2" s="1"/>
  <c r="W57" i="2"/>
  <c r="L58" i="2" s="1"/>
  <c r="X57" i="2"/>
  <c r="M58" i="2" s="1"/>
  <c r="N58" i="2" l="1"/>
  <c r="O58" i="2" s="1"/>
  <c r="P58" i="2" l="1"/>
  <c r="Q58" i="2"/>
  <c r="R58" i="2" s="1"/>
  <c r="T58" i="2"/>
  <c r="I59" i="2" s="1"/>
  <c r="U58" i="2"/>
  <c r="J59" i="2" s="1"/>
  <c r="V58" i="2"/>
  <c r="K59" i="2" s="1"/>
  <c r="W58" i="2"/>
  <c r="L59" i="2" s="1"/>
  <c r="X58" i="2"/>
  <c r="M59" i="2" s="1"/>
  <c r="N59" i="2" l="1"/>
  <c r="O59" i="2" s="1"/>
  <c r="P59" i="2" l="1"/>
  <c r="Q59" i="2"/>
  <c r="R59" i="2" s="1"/>
  <c r="T59" i="2"/>
  <c r="I60" i="2" s="1"/>
  <c r="U59" i="2"/>
  <c r="J60" i="2" s="1"/>
  <c r="V59" i="2"/>
  <c r="K60" i="2" s="1"/>
  <c r="W59" i="2"/>
  <c r="L60" i="2" s="1"/>
  <c r="X59" i="2"/>
  <c r="M60" i="2" s="1"/>
  <c r="N60" i="2" l="1"/>
  <c r="O60" i="2" s="1"/>
  <c r="P60" i="2" l="1"/>
  <c r="Q60" i="2"/>
  <c r="R60" i="2" s="1"/>
  <c r="T60" i="2"/>
  <c r="I61" i="2" s="1"/>
  <c r="U60" i="2"/>
  <c r="J61" i="2" s="1"/>
  <c r="V60" i="2"/>
  <c r="K61" i="2" s="1"/>
  <c r="W60" i="2"/>
  <c r="L61" i="2" s="1"/>
  <c r="X60" i="2"/>
  <c r="M61" i="2" s="1"/>
  <c r="N61" i="2" l="1"/>
  <c r="O61" i="2" s="1"/>
  <c r="P61" i="2" l="1"/>
  <c r="Q61" i="2"/>
  <c r="R61" i="2" s="1"/>
  <c r="T61" i="2"/>
  <c r="I62" i="2" s="1"/>
  <c r="U61" i="2"/>
  <c r="J62" i="2" s="1"/>
  <c r="V61" i="2"/>
  <c r="K62" i="2" s="1"/>
  <c r="W61" i="2"/>
  <c r="L62" i="2" s="1"/>
  <c r="X61" i="2"/>
  <c r="M62" i="2" s="1"/>
  <c r="N62" i="2" l="1"/>
  <c r="O62" i="2" s="1"/>
  <c r="P62" i="2" l="1"/>
  <c r="Q62" i="2"/>
  <c r="R62" i="2" s="1"/>
  <c r="T62" i="2"/>
  <c r="I63" i="2" s="1"/>
  <c r="U62" i="2"/>
  <c r="J63" i="2" s="1"/>
  <c r="V62" i="2"/>
  <c r="K63" i="2" s="1"/>
  <c r="W62" i="2"/>
  <c r="L63" i="2" s="1"/>
  <c r="X62" i="2"/>
  <c r="M63" i="2" s="1"/>
  <c r="N63" i="2" l="1"/>
  <c r="O63" i="2" s="1"/>
  <c r="P63" i="2" l="1"/>
  <c r="Q63" i="2"/>
  <c r="R63" i="2" s="1"/>
  <c r="T63" i="2"/>
  <c r="I64" i="2" s="1"/>
  <c r="U63" i="2"/>
  <c r="J64" i="2" s="1"/>
  <c r="V63" i="2"/>
  <c r="K64" i="2" s="1"/>
  <c r="W63" i="2"/>
  <c r="L64" i="2" s="1"/>
  <c r="X63" i="2"/>
  <c r="M64" i="2" s="1"/>
  <c r="N64" i="2" l="1"/>
  <c r="O64" i="2" s="1"/>
  <c r="P64" i="2" l="1"/>
  <c r="Q64" i="2"/>
  <c r="R64" i="2" s="1"/>
  <c r="T64" i="2"/>
  <c r="I65" i="2" s="1"/>
  <c r="U64" i="2"/>
  <c r="J65" i="2" s="1"/>
  <c r="V64" i="2"/>
  <c r="K65" i="2" s="1"/>
  <c r="W64" i="2"/>
  <c r="L65" i="2" s="1"/>
  <c r="X64" i="2"/>
  <c r="M65" i="2" s="1"/>
  <c r="N65" i="2" l="1"/>
  <c r="O65" i="2" s="1"/>
  <c r="P65" i="2" l="1"/>
  <c r="Q65" i="2"/>
  <c r="R65" i="2" s="1"/>
  <c r="T65" i="2"/>
  <c r="I66" i="2" s="1"/>
  <c r="U65" i="2"/>
  <c r="J66" i="2" s="1"/>
  <c r="V65" i="2"/>
  <c r="K66" i="2" s="1"/>
  <c r="W65" i="2"/>
  <c r="L66" i="2" s="1"/>
  <c r="X65" i="2"/>
  <c r="M66" i="2" s="1"/>
  <c r="N66" i="2" l="1"/>
  <c r="O66" i="2" s="1"/>
  <c r="P66" i="2" l="1"/>
  <c r="Q66" i="2"/>
  <c r="R66" i="2" s="1"/>
  <c r="T66" i="2"/>
  <c r="I67" i="2" s="1"/>
  <c r="U66" i="2"/>
  <c r="J67" i="2" s="1"/>
  <c r="V66" i="2"/>
  <c r="K67" i="2" s="1"/>
  <c r="W66" i="2"/>
  <c r="L67" i="2" s="1"/>
  <c r="X66" i="2"/>
  <c r="M67" i="2" s="1"/>
  <c r="N67" i="2" l="1"/>
  <c r="O67" i="2" s="1"/>
  <c r="P67" i="2" l="1"/>
  <c r="Q67" i="2"/>
  <c r="R67" i="2" s="1"/>
  <c r="T67" i="2"/>
  <c r="I68" i="2" s="1"/>
  <c r="U67" i="2"/>
  <c r="J68" i="2" s="1"/>
  <c r="V67" i="2"/>
  <c r="K68" i="2" s="1"/>
  <c r="W67" i="2"/>
  <c r="L68" i="2" s="1"/>
  <c r="X67" i="2"/>
  <c r="M68" i="2" s="1"/>
  <c r="N68" i="2" l="1"/>
  <c r="O68" i="2" s="1"/>
  <c r="P68" i="2" l="1"/>
  <c r="Q68" i="2"/>
  <c r="R68" i="2" s="1"/>
  <c r="T68" i="2"/>
  <c r="I69" i="2" s="1"/>
  <c r="U68" i="2"/>
  <c r="J69" i="2" s="1"/>
  <c r="V68" i="2"/>
  <c r="K69" i="2" s="1"/>
  <c r="W68" i="2"/>
  <c r="L69" i="2" s="1"/>
  <c r="X68" i="2"/>
  <c r="M69" i="2" s="1"/>
  <c r="N69" i="2" l="1"/>
  <c r="O69" i="2" s="1"/>
  <c r="P69" i="2" l="1"/>
  <c r="Q69" i="2"/>
  <c r="R69" i="2" s="1"/>
  <c r="T69" i="2"/>
  <c r="I70" i="2" s="1"/>
  <c r="U69" i="2"/>
  <c r="J70" i="2" s="1"/>
  <c r="V69" i="2"/>
  <c r="K70" i="2" s="1"/>
  <c r="W69" i="2"/>
  <c r="L70" i="2" s="1"/>
  <c r="X69" i="2"/>
  <c r="M70" i="2" s="1"/>
  <c r="N70" i="2" l="1"/>
  <c r="O70" i="2" s="1"/>
  <c r="P70" i="2" l="1"/>
  <c r="Q70" i="2"/>
  <c r="R70" i="2" s="1"/>
  <c r="T70" i="2"/>
  <c r="I71" i="2" s="1"/>
  <c r="U70" i="2"/>
  <c r="J71" i="2" s="1"/>
  <c r="V70" i="2"/>
  <c r="K71" i="2" s="1"/>
  <c r="W70" i="2"/>
  <c r="L71" i="2" s="1"/>
  <c r="X70" i="2"/>
  <c r="M71" i="2" s="1"/>
  <c r="N71" i="2" l="1"/>
  <c r="O71" i="2" s="1"/>
  <c r="P71" i="2" l="1"/>
  <c r="Q71" i="2"/>
  <c r="R71" i="2" s="1"/>
  <c r="T71" i="2"/>
  <c r="I72" i="2" s="1"/>
  <c r="U71" i="2"/>
  <c r="J72" i="2" s="1"/>
  <c r="V71" i="2"/>
  <c r="K72" i="2" s="1"/>
  <c r="W71" i="2"/>
  <c r="L72" i="2" s="1"/>
  <c r="X71" i="2"/>
  <c r="M72" i="2" s="1"/>
  <c r="N72" i="2" l="1"/>
  <c r="O72" i="2" s="1"/>
  <c r="P72" i="2" l="1"/>
  <c r="Q72" i="2"/>
  <c r="R72" i="2" s="1"/>
  <c r="T72" i="2"/>
  <c r="I73" i="2" s="1"/>
  <c r="U72" i="2"/>
  <c r="J73" i="2" s="1"/>
  <c r="V72" i="2"/>
  <c r="K73" i="2" s="1"/>
  <c r="W72" i="2"/>
  <c r="L73" i="2" s="1"/>
  <c r="X72" i="2"/>
  <c r="M73" i="2" s="1"/>
  <c r="N73" i="2" l="1"/>
  <c r="O73" i="2" s="1"/>
  <c r="P73" i="2" l="1"/>
  <c r="Q73" i="2"/>
  <c r="R73" i="2" s="1"/>
  <c r="T73" i="2"/>
  <c r="I74" i="2" s="1"/>
  <c r="U73" i="2"/>
  <c r="J74" i="2" s="1"/>
  <c r="V73" i="2"/>
  <c r="K74" i="2" s="1"/>
  <c r="W73" i="2"/>
  <c r="L74" i="2" s="1"/>
  <c r="X73" i="2"/>
  <c r="M74" i="2" s="1"/>
  <c r="N74" i="2" l="1"/>
  <c r="O74" i="2" s="1"/>
  <c r="P74" i="2" l="1"/>
  <c r="Q74" i="2"/>
  <c r="R74" i="2" s="1"/>
  <c r="T74" i="2"/>
  <c r="I75" i="2" s="1"/>
  <c r="U74" i="2"/>
  <c r="J75" i="2" s="1"/>
  <c r="V74" i="2"/>
  <c r="K75" i="2" s="1"/>
  <c r="W74" i="2"/>
  <c r="L75" i="2" s="1"/>
  <c r="X74" i="2"/>
  <c r="M75" i="2" s="1"/>
  <c r="N75" i="2" l="1"/>
  <c r="O75" i="2" s="1"/>
  <c r="P75" i="2" l="1"/>
  <c r="Q75" i="2"/>
  <c r="R75" i="2" s="1"/>
  <c r="T75" i="2"/>
  <c r="I76" i="2" s="1"/>
  <c r="U75" i="2"/>
  <c r="J76" i="2" s="1"/>
  <c r="V75" i="2"/>
  <c r="K76" i="2" s="1"/>
  <c r="W75" i="2"/>
  <c r="L76" i="2" s="1"/>
  <c r="X75" i="2"/>
  <c r="M76" i="2" s="1"/>
  <c r="N76" i="2" l="1"/>
  <c r="O76" i="2" s="1"/>
  <c r="P76" i="2" l="1"/>
  <c r="Q76" i="2"/>
  <c r="R76" i="2" s="1"/>
  <c r="T76" i="2"/>
  <c r="I77" i="2" s="1"/>
  <c r="U76" i="2"/>
  <c r="J77" i="2" s="1"/>
  <c r="V76" i="2"/>
  <c r="K77" i="2" s="1"/>
  <c r="W76" i="2"/>
  <c r="L77" i="2" s="1"/>
  <c r="X76" i="2"/>
  <c r="M77" i="2" s="1"/>
  <c r="N77" i="2" l="1"/>
  <c r="O77" i="2" s="1"/>
  <c r="P77" i="2" l="1"/>
  <c r="Q77" i="2"/>
  <c r="R77" i="2" s="1"/>
  <c r="T77" i="2"/>
  <c r="I78" i="2" s="1"/>
  <c r="U77" i="2"/>
  <c r="J78" i="2" s="1"/>
  <c r="V77" i="2"/>
  <c r="K78" i="2" s="1"/>
  <c r="W77" i="2"/>
  <c r="L78" i="2" s="1"/>
  <c r="X77" i="2"/>
  <c r="M78" i="2" s="1"/>
  <c r="N78" i="2" l="1"/>
  <c r="O78" i="2" s="1"/>
  <c r="P78" i="2" l="1"/>
  <c r="Q78" i="2"/>
  <c r="R78" i="2" s="1"/>
  <c r="T78" i="2"/>
  <c r="I79" i="2" s="1"/>
  <c r="U78" i="2"/>
  <c r="J79" i="2" s="1"/>
  <c r="V78" i="2"/>
  <c r="K79" i="2" s="1"/>
  <c r="W78" i="2"/>
  <c r="L79" i="2" s="1"/>
  <c r="X78" i="2"/>
  <c r="M79" i="2" s="1"/>
  <c r="N79" i="2" l="1"/>
  <c r="O79" i="2" s="1"/>
  <c r="P79" i="2" l="1"/>
  <c r="Q79" i="2"/>
  <c r="R79" i="2" s="1"/>
  <c r="T79" i="2"/>
  <c r="I80" i="2" s="1"/>
  <c r="U79" i="2"/>
  <c r="J80" i="2" s="1"/>
  <c r="V79" i="2"/>
  <c r="K80" i="2" s="1"/>
  <c r="W79" i="2"/>
  <c r="L80" i="2" s="1"/>
  <c r="X79" i="2"/>
  <c r="M80" i="2" s="1"/>
  <c r="N80" i="2" l="1"/>
  <c r="O80" i="2" s="1"/>
  <c r="P80" i="2" l="1"/>
  <c r="Q80" i="2"/>
  <c r="R80" i="2" s="1"/>
  <c r="T80" i="2"/>
  <c r="I81" i="2" s="1"/>
  <c r="U80" i="2"/>
  <c r="J81" i="2" s="1"/>
  <c r="V80" i="2"/>
  <c r="K81" i="2" s="1"/>
  <c r="W80" i="2"/>
  <c r="L81" i="2" s="1"/>
  <c r="X80" i="2"/>
  <c r="M81" i="2" s="1"/>
  <c r="N81" i="2" l="1"/>
  <c r="O81" i="2" s="1"/>
  <c r="P81" i="2" l="1"/>
  <c r="Q81" i="2"/>
  <c r="R81" i="2" s="1"/>
  <c r="T81" i="2"/>
  <c r="I82" i="2" s="1"/>
  <c r="U81" i="2"/>
  <c r="J82" i="2" s="1"/>
  <c r="V81" i="2"/>
  <c r="K82" i="2" s="1"/>
  <c r="W81" i="2"/>
  <c r="L82" i="2" s="1"/>
  <c r="X81" i="2"/>
  <c r="M82" i="2" s="1"/>
  <c r="N82" i="2" l="1"/>
  <c r="O82" i="2" s="1"/>
  <c r="P82" i="2" l="1"/>
  <c r="Q82" i="2"/>
  <c r="R82" i="2" s="1"/>
  <c r="T82" i="2"/>
  <c r="I83" i="2" s="1"/>
  <c r="U82" i="2"/>
  <c r="J83" i="2" s="1"/>
  <c r="V82" i="2"/>
  <c r="K83" i="2" s="1"/>
  <c r="W82" i="2"/>
  <c r="L83" i="2" s="1"/>
  <c r="X82" i="2"/>
  <c r="M83" i="2" s="1"/>
  <c r="N83" i="2" l="1"/>
  <c r="O83" i="2" s="1"/>
  <c r="P83" i="2" l="1"/>
  <c r="Q83" i="2"/>
  <c r="R83" i="2" s="1"/>
  <c r="T83" i="2"/>
  <c r="I84" i="2" s="1"/>
  <c r="U83" i="2"/>
  <c r="J84" i="2" s="1"/>
  <c r="V83" i="2"/>
  <c r="K84" i="2" s="1"/>
  <c r="W83" i="2"/>
  <c r="L84" i="2" s="1"/>
  <c r="X83" i="2"/>
  <c r="M84" i="2" s="1"/>
  <c r="N84" i="2" l="1"/>
  <c r="O84" i="2" s="1"/>
  <c r="U84" i="2" l="1"/>
  <c r="P84" i="2"/>
  <c r="AB4" i="2" s="1"/>
  <c r="Q84" i="2"/>
  <c r="R84" i="2" s="1"/>
  <c r="S84" i="2" s="1"/>
  <c r="AA4" i="2" s="1"/>
  <c r="T84" i="2"/>
  <c r="V84" i="2"/>
  <c r="X84" i="2"/>
  <c r="W84" i="2"/>
  <c r="J85" i="2" l="1"/>
  <c r="J7" i="3"/>
  <c r="I7" i="3"/>
  <c r="I85" i="2"/>
  <c r="K7" i="3"/>
  <c r="K85" i="2"/>
  <c r="M7" i="3"/>
  <c r="M85" i="2"/>
  <c r="L85" i="2"/>
  <c r="L7" i="3"/>
  <c r="N7" i="3" l="1"/>
  <c r="O7" i="3" s="1"/>
  <c r="N85" i="2"/>
  <c r="O85" i="2" s="1"/>
  <c r="P7" i="3" l="1"/>
  <c r="Q7" i="3"/>
  <c r="R7" i="3" s="1"/>
  <c r="T7" i="3"/>
  <c r="I8" i="3" s="1"/>
  <c r="U7" i="3"/>
  <c r="J8" i="3" s="1"/>
  <c r="V7" i="3"/>
  <c r="K8" i="3" s="1"/>
  <c r="W7" i="3"/>
  <c r="L8" i="3" s="1"/>
  <c r="X7" i="3"/>
  <c r="M8" i="3" s="1"/>
  <c r="V85" i="2"/>
  <c r="K86" i="2" s="1"/>
  <c r="P85" i="2"/>
  <c r="T85" i="2"/>
  <c r="I86" i="2" s="1"/>
  <c r="W85" i="2"/>
  <c r="L86" i="2" s="1"/>
  <c r="Q85" i="2"/>
  <c r="R85" i="2" s="1"/>
  <c r="U85" i="2"/>
  <c r="J86" i="2" s="1"/>
  <c r="X85" i="2"/>
  <c r="M86" i="2" s="1"/>
  <c r="N8" i="3" l="1"/>
  <c r="O8" i="3" s="1"/>
  <c r="N86" i="2"/>
  <c r="O86" i="2" s="1"/>
  <c r="P8" i="3" l="1"/>
  <c r="Q8" i="3"/>
  <c r="R8" i="3" s="1"/>
  <c r="T8" i="3"/>
  <c r="I9" i="3" s="1"/>
  <c r="U8" i="3"/>
  <c r="J9" i="3" s="1"/>
  <c r="V8" i="3"/>
  <c r="K9" i="3" s="1"/>
  <c r="W8" i="3"/>
  <c r="L9" i="3" s="1"/>
  <c r="X8" i="3"/>
  <c r="M9" i="3" s="1"/>
  <c r="V86" i="2"/>
  <c r="K87" i="2" s="1"/>
  <c r="X86" i="2"/>
  <c r="M87" i="2" s="1"/>
  <c r="Q86" i="2"/>
  <c r="R86" i="2" s="1"/>
  <c r="U86" i="2"/>
  <c r="J87" i="2" s="1"/>
  <c r="P86" i="2"/>
  <c r="T86" i="2"/>
  <c r="I87" i="2" s="1"/>
  <c r="W86" i="2"/>
  <c r="L87" i="2" s="1"/>
  <c r="N9" i="3" l="1"/>
  <c r="O9" i="3" s="1"/>
  <c r="N87" i="2"/>
  <c r="O87" i="2" s="1"/>
  <c r="P9" i="3" l="1"/>
  <c r="Q9" i="3"/>
  <c r="R9" i="3" s="1"/>
  <c r="T9" i="3"/>
  <c r="I10" i="3" s="1"/>
  <c r="U9" i="3"/>
  <c r="J10" i="3" s="1"/>
  <c r="V9" i="3"/>
  <c r="K10" i="3" s="1"/>
  <c r="W9" i="3"/>
  <c r="L10" i="3" s="1"/>
  <c r="X9" i="3"/>
  <c r="M10" i="3" s="1"/>
  <c r="Q87" i="2"/>
  <c r="R87" i="2" s="1"/>
  <c r="T87" i="2"/>
  <c r="I88" i="2" s="1"/>
  <c r="X87" i="2"/>
  <c r="M88" i="2" s="1"/>
  <c r="P87" i="2"/>
  <c r="V87" i="2"/>
  <c r="K88" i="2" s="1"/>
  <c r="U87" i="2"/>
  <c r="J88" i="2" s="1"/>
  <c r="W87" i="2"/>
  <c r="L88" i="2" s="1"/>
  <c r="N10" i="3" l="1"/>
  <c r="O10" i="3" s="1"/>
  <c r="N88" i="2"/>
  <c r="O88" i="2" s="1"/>
  <c r="P10" i="3" l="1"/>
  <c r="Q10" i="3"/>
  <c r="R10" i="3" s="1"/>
  <c r="T10" i="3"/>
  <c r="I11" i="3" s="1"/>
  <c r="U10" i="3"/>
  <c r="J11" i="3" s="1"/>
  <c r="V10" i="3"/>
  <c r="K11" i="3" s="1"/>
  <c r="W10" i="3"/>
  <c r="L11" i="3" s="1"/>
  <c r="X10" i="3"/>
  <c r="M11" i="3" s="1"/>
  <c r="Q88" i="2"/>
  <c r="R88" i="2" s="1"/>
  <c r="U88" i="2"/>
  <c r="J89" i="2" s="1"/>
  <c r="W88" i="2"/>
  <c r="L89" i="2" s="1"/>
  <c r="P88" i="2"/>
  <c r="T88" i="2"/>
  <c r="I89" i="2" s="1"/>
  <c r="X88" i="2"/>
  <c r="M89" i="2" s="1"/>
  <c r="V88" i="2"/>
  <c r="K89" i="2" s="1"/>
  <c r="N11" i="3" l="1"/>
  <c r="O11" i="3" s="1"/>
  <c r="N89" i="2"/>
  <c r="O89" i="2" s="1"/>
  <c r="P11" i="3" l="1"/>
  <c r="Q11" i="3"/>
  <c r="R11" i="3" s="1"/>
  <c r="T11" i="3"/>
  <c r="I12" i="3" s="1"/>
  <c r="U11" i="3"/>
  <c r="J12" i="3" s="1"/>
  <c r="V11" i="3"/>
  <c r="K12" i="3" s="1"/>
  <c r="W11" i="3"/>
  <c r="L12" i="3" s="1"/>
  <c r="X11" i="3"/>
  <c r="M12" i="3" s="1"/>
  <c r="V89" i="2"/>
  <c r="K90" i="2" s="1"/>
  <c r="X89" i="2"/>
  <c r="M90" i="2" s="1"/>
  <c r="P89" i="2"/>
  <c r="U89" i="2"/>
  <c r="J90" i="2" s="1"/>
  <c r="Q89" i="2"/>
  <c r="R89" i="2" s="1"/>
  <c r="T89" i="2"/>
  <c r="I90" i="2" s="1"/>
  <c r="W89" i="2"/>
  <c r="L90" i="2" s="1"/>
  <c r="N12" i="3" l="1"/>
  <c r="O12" i="3" s="1"/>
  <c r="N90" i="2"/>
  <c r="O90" i="2" s="1"/>
  <c r="P12" i="3" l="1"/>
  <c r="Q12" i="3"/>
  <c r="R12" i="3" s="1"/>
  <c r="T12" i="3"/>
  <c r="I13" i="3" s="1"/>
  <c r="U12" i="3"/>
  <c r="J13" i="3" s="1"/>
  <c r="V12" i="3"/>
  <c r="K13" i="3" s="1"/>
  <c r="W12" i="3"/>
  <c r="L13" i="3" s="1"/>
  <c r="X12" i="3"/>
  <c r="M13" i="3" s="1"/>
  <c r="Q90" i="2"/>
  <c r="R90" i="2" s="1"/>
  <c r="U90" i="2"/>
  <c r="J91" i="2" s="1"/>
  <c r="P90" i="2"/>
  <c r="W90" i="2"/>
  <c r="L91" i="2" s="1"/>
  <c r="T90" i="2"/>
  <c r="I91" i="2" s="1"/>
  <c r="V90" i="2"/>
  <c r="K91" i="2" s="1"/>
  <c r="X90" i="2"/>
  <c r="M91" i="2" s="1"/>
  <c r="N13" i="3" l="1"/>
  <c r="O13" i="3" s="1"/>
  <c r="N91" i="2"/>
  <c r="O91" i="2" s="1"/>
  <c r="P13" i="3" l="1"/>
  <c r="Q13" i="3"/>
  <c r="R13" i="3" s="1"/>
  <c r="T13" i="3"/>
  <c r="I14" i="3" s="1"/>
  <c r="U13" i="3"/>
  <c r="J14" i="3" s="1"/>
  <c r="X13" i="3"/>
  <c r="M14" i="3" s="1"/>
  <c r="W13" i="3"/>
  <c r="L14" i="3" s="1"/>
  <c r="V13" i="3"/>
  <c r="K14" i="3" s="1"/>
  <c r="V91" i="2"/>
  <c r="K92" i="2" s="1"/>
  <c r="P91" i="2"/>
  <c r="T91" i="2"/>
  <c r="I92" i="2" s="1"/>
  <c r="W91" i="2"/>
  <c r="L92" i="2" s="1"/>
  <c r="Q91" i="2"/>
  <c r="R91" i="2" s="1"/>
  <c r="U91" i="2"/>
  <c r="J92" i="2" s="1"/>
  <c r="X91" i="2"/>
  <c r="M92" i="2" s="1"/>
  <c r="N92" i="2" l="1"/>
  <c r="O92" i="2" s="1"/>
  <c r="W92" i="2" s="1"/>
  <c r="L93" i="2" s="1"/>
  <c r="N14" i="3"/>
  <c r="O14" i="3" s="1"/>
  <c r="P92" i="2" l="1"/>
  <c r="U92" i="2"/>
  <c r="J93" i="2" s="1"/>
  <c r="X92" i="2"/>
  <c r="M93" i="2" s="1"/>
  <c r="Q92" i="2"/>
  <c r="R92" i="2" s="1"/>
  <c r="T92" i="2"/>
  <c r="I93" i="2" s="1"/>
  <c r="V92" i="2"/>
  <c r="K93" i="2" s="1"/>
  <c r="U14" i="3"/>
  <c r="J15" i="3" s="1"/>
  <c r="T14" i="3"/>
  <c r="I15" i="3" s="1"/>
  <c r="W14" i="3"/>
  <c r="L15" i="3" s="1"/>
  <c r="Q14" i="3"/>
  <c r="R14" i="3" s="1"/>
  <c r="X14" i="3"/>
  <c r="M15" i="3" s="1"/>
  <c r="P14" i="3"/>
  <c r="V14" i="3"/>
  <c r="K15" i="3" s="1"/>
  <c r="N93" i="2" l="1"/>
  <c r="O93" i="2" s="1"/>
  <c r="N15" i="3"/>
  <c r="O15" i="3" s="1"/>
  <c r="P93" i="2" l="1"/>
  <c r="Q93" i="2"/>
  <c r="R93" i="2" s="1"/>
  <c r="X93" i="2"/>
  <c r="M94" i="2" s="1"/>
  <c r="U93" i="2"/>
  <c r="J94" i="2" s="1"/>
  <c r="T93" i="2"/>
  <c r="I94" i="2" s="1"/>
  <c r="V93" i="2"/>
  <c r="K94" i="2" s="1"/>
  <c r="W93" i="2"/>
  <c r="L94" i="2" s="1"/>
  <c r="V15" i="3"/>
  <c r="K16" i="3" s="1"/>
  <c r="T15" i="3"/>
  <c r="I16" i="3" s="1"/>
  <c r="W15" i="3"/>
  <c r="L16" i="3" s="1"/>
  <c r="X15" i="3"/>
  <c r="M16" i="3" s="1"/>
  <c r="Q15" i="3"/>
  <c r="R15" i="3" s="1"/>
  <c r="P15" i="3"/>
  <c r="U15" i="3"/>
  <c r="J16" i="3" s="1"/>
  <c r="N16" i="3" l="1"/>
  <c r="O16" i="3" s="1"/>
  <c r="N94" i="2"/>
  <c r="O94" i="2" s="1"/>
  <c r="V16" i="3" l="1"/>
  <c r="K17" i="3" s="1"/>
  <c r="T16" i="3"/>
  <c r="I17" i="3" s="1"/>
  <c r="X16" i="3"/>
  <c r="M17" i="3" s="1"/>
  <c r="Q16" i="3"/>
  <c r="R16" i="3" s="1"/>
  <c r="U16" i="3"/>
  <c r="J17" i="3" s="1"/>
  <c r="W16" i="3"/>
  <c r="L17" i="3" s="1"/>
  <c r="P16" i="3"/>
  <c r="Q94" i="2"/>
  <c r="R94" i="2" s="1"/>
  <c r="T94" i="2"/>
  <c r="I95" i="2" s="1"/>
  <c r="X94" i="2"/>
  <c r="M95" i="2" s="1"/>
  <c r="V94" i="2"/>
  <c r="K95" i="2" s="1"/>
  <c r="P94" i="2"/>
  <c r="U94" i="2"/>
  <c r="J95" i="2" s="1"/>
  <c r="W94" i="2"/>
  <c r="L95" i="2" s="1"/>
  <c r="N17" i="3" l="1"/>
  <c r="O17" i="3" s="1"/>
  <c r="N95" i="2"/>
  <c r="O95" i="2" s="1"/>
  <c r="U17" i="3" l="1"/>
  <c r="J18" i="3" s="1"/>
  <c r="N18" i="3" s="1"/>
  <c r="O18" i="3" s="1"/>
  <c r="X17" i="3"/>
  <c r="M18" i="3" s="1"/>
  <c r="Q17" i="3"/>
  <c r="R17" i="3" s="1"/>
  <c r="W17" i="3"/>
  <c r="L18" i="3" s="1"/>
  <c r="T17" i="3"/>
  <c r="I18" i="3" s="1"/>
  <c r="P17" i="3"/>
  <c r="V17" i="3"/>
  <c r="K18" i="3" s="1"/>
  <c r="U95" i="2"/>
  <c r="J96" i="2" s="1"/>
  <c r="Q95" i="2"/>
  <c r="R95" i="2" s="1"/>
  <c r="P95" i="2"/>
  <c r="X95" i="2"/>
  <c r="M96" i="2" s="1"/>
  <c r="W95" i="2"/>
  <c r="L96" i="2" s="1"/>
  <c r="V95" i="2"/>
  <c r="K96" i="2" s="1"/>
  <c r="T95" i="2"/>
  <c r="I96" i="2" s="1"/>
  <c r="N96" i="2" l="1"/>
  <c r="O96" i="2" s="1"/>
  <c r="V18" i="3"/>
  <c r="K19" i="3" s="1"/>
  <c r="P18" i="3"/>
  <c r="X18" i="3"/>
  <c r="M19" i="3" s="1"/>
  <c r="Q18" i="3"/>
  <c r="R18" i="3" s="1"/>
  <c r="T18" i="3"/>
  <c r="I19" i="3" s="1"/>
  <c r="W18" i="3"/>
  <c r="L19" i="3" s="1"/>
  <c r="U18" i="3"/>
  <c r="J19" i="3" s="1"/>
  <c r="V96" i="2" l="1"/>
  <c r="K97" i="2" s="1"/>
  <c r="U96" i="2"/>
  <c r="J97" i="2" s="1"/>
  <c r="Q96" i="2"/>
  <c r="R96" i="2" s="1"/>
  <c r="X96" i="2"/>
  <c r="M97" i="2" s="1"/>
  <c r="W96" i="2"/>
  <c r="L97" i="2" s="1"/>
  <c r="T96" i="2"/>
  <c r="I97" i="2" s="1"/>
  <c r="P96" i="2"/>
  <c r="N19" i="3"/>
  <c r="O19" i="3" s="1"/>
  <c r="N97" i="2" l="1"/>
  <c r="O97" i="2" s="1"/>
  <c r="U19" i="3"/>
  <c r="J20" i="3" s="1"/>
  <c r="P19" i="3"/>
  <c r="T19" i="3"/>
  <c r="I20" i="3" s="1"/>
  <c r="V19" i="3"/>
  <c r="K20" i="3" s="1"/>
  <c r="X19" i="3"/>
  <c r="M20" i="3" s="1"/>
  <c r="Q19" i="3"/>
  <c r="R19" i="3" s="1"/>
  <c r="W19" i="3"/>
  <c r="L20" i="3" s="1"/>
  <c r="W97" i="2" l="1"/>
  <c r="L98" i="2" s="1"/>
  <c r="U97" i="2"/>
  <c r="J98" i="2" s="1"/>
  <c r="T97" i="2"/>
  <c r="I98" i="2" s="1"/>
  <c r="V97" i="2"/>
  <c r="K98" i="2" s="1"/>
  <c r="X97" i="2"/>
  <c r="M98" i="2" s="1"/>
  <c r="P97" i="2"/>
  <c r="Q97" i="2"/>
  <c r="R97" i="2" s="1"/>
  <c r="N20" i="3"/>
  <c r="O20" i="3" s="1"/>
  <c r="N98" i="2" l="1"/>
  <c r="O98" i="2" s="1"/>
  <c r="Q98" i="2"/>
  <c r="R98" i="2" s="1"/>
  <c r="P98" i="2"/>
  <c r="X98" i="2"/>
  <c r="M99" i="2" s="1"/>
  <c r="U98" i="2"/>
  <c r="J99" i="2" s="1"/>
  <c r="V98" i="2"/>
  <c r="K99" i="2" s="1"/>
  <c r="T20" i="3"/>
  <c r="I21" i="3" s="1"/>
  <c r="U20" i="3"/>
  <c r="J21" i="3" s="1"/>
  <c r="V20" i="3"/>
  <c r="K21" i="3" s="1"/>
  <c r="Q20" i="3"/>
  <c r="R20" i="3" s="1"/>
  <c r="W20" i="3"/>
  <c r="L21" i="3" s="1"/>
  <c r="P20" i="3"/>
  <c r="X20" i="3"/>
  <c r="M21" i="3" s="1"/>
  <c r="T98" i="2" l="1"/>
  <c r="I99" i="2" s="1"/>
  <c r="N99" i="2" s="1"/>
  <c r="O99" i="2" s="1"/>
  <c r="W98" i="2"/>
  <c r="L99" i="2" s="1"/>
  <c r="N21" i="3"/>
  <c r="O21" i="3" s="1"/>
  <c r="Q99" i="2" l="1"/>
  <c r="R99" i="2" s="1"/>
  <c r="U99" i="2"/>
  <c r="J100" i="2" s="1"/>
  <c r="W99" i="2"/>
  <c r="L100" i="2" s="1"/>
  <c r="P99" i="2"/>
  <c r="X99" i="2"/>
  <c r="M100" i="2" s="1"/>
  <c r="V99" i="2"/>
  <c r="K100" i="2" s="1"/>
  <c r="T99" i="2"/>
  <c r="I100" i="2" s="1"/>
  <c r="X21" i="3"/>
  <c r="M22" i="3" s="1"/>
  <c r="Q21" i="3"/>
  <c r="R21" i="3" s="1"/>
  <c r="W21" i="3"/>
  <c r="L22" i="3" s="1"/>
  <c r="T21" i="3"/>
  <c r="I22" i="3" s="1"/>
  <c r="P21" i="3"/>
  <c r="U21" i="3"/>
  <c r="J22" i="3" s="1"/>
  <c r="V21" i="3"/>
  <c r="K22" i="3" s="1"/>
  <c r="N100" i="2" l="1"/>
  <c r="O100" i="2" s="1"/>
  <c r="N22" i="3"/>
  <c r="O22" i="3" s="1"/>
  <c r="Q100" i="2" l="1"/>
  <c r="R100" i="2" s="1"/>
  <c r="V100" i="2"/>
  <c r="K101" i="2" s="1"/>
  <c r="W100" i="2"/>
  <c r="L101" i="2" s="1"/>
  <c r="P100" i="2"/>
  <c r="U100" i="2"/>
  <c r="J101" i="2" s="1"/>
  <c r="X100" i="2"/>
  <c r="M101" i="2" s="1"/>
  <c r="T100" i="2"/>
  <c r="I101" i="2" s="1"/>
  <c r="P22" i="3"/>
  <c r="U22" i="3"/>
  <c r="J23" i="3" s="1"/>
  <c r="V22" i="3"/>
  <c r="K23" i="3" s="1"/>
  <c r="X22" i="3"/>
  <c r="M23" i="3" s="1"/>
  <c r="Q22" i="3"/>
  <c r="R22" i="3" s="1"/>
  <c r="T22" i="3"/>
  <c r="I23" i="3" s="1"/>
  <c r="W22" i="3"/>
  <c r="L23" i="3" s="1"/>
  <c r="N101" i="2" l="1"/>
  <c r="O101" i="2" s="1"/>
  <c r="N23" i="3"/>
  <c r="O23" i="3" s="1"/>
  <c r="V101" i="2" l="1"/>
  <c r="K102" i="2" s="1"/>
  <c r="T101" i="2"/>
  <c r="I102" i="2" s="1"/>
  <c r="X101" i="2"/>
  <c r="M102" i="2" s="1"/>
  <c r="P101" i="2"/>
  <c r="Q101" i="2"/>
  <c r="R101" i="2" s="1"/>
  <c r="U101" i="2"/>
  <c r="J102" i="2" s="1"/>
  <c r="W101" i="2"/>
  <c r="L102" i="2" s="1"/>
  <c r="T23" i="3"/>
  <c r="I24" i="3" s="1"/>
  <c r="X23" i="3"/>
  <c r="M24" i="3" s="1"/>
  <c r="Q23" i="3"/>
  <c r="R23" i="3" s="1"/>
  <c r="U23" i="3"/>
  <c r="J24" i="3" s="1"/>
  <c r="W23" i="3"/>
  <c r="L24" i="3" s="1"/>
  <c r="P23" i="3"/>
  <c r="V23" i="3"/>
  <c r="K24" i="3" s="1"/>
  <c r="N102" i="2" l="1"/>
  <c r="O102" i="2" s="1"/>
  <c r="N24" i="3"/>
  <c r="O24" i="3" s="1"/>
  <c r="X102" i="2" l="1"/>
  <c r="M103" i="2" s="1"/>
  <c r="W102" i="2"/>
  <c r="L103" i="2" s="1"/>
  <c r="V102" i="2"/>
  <c r="K103" i="2" s="1"/>
  <c r="U102" i="2"/>
  <c r="J103" i="2" s="1"/>
  <c r="T102" i="2"/>
  <c r="I103" i="2" s="1"/>
  <c r="Q102" i="2"/>
  <c r="R102" i="2" s="1"/>
  <c r="P102" i="2"/>
  <c r="U24" i="3"/>
  <c r="J25" i="3" s="1"/>
  <c r="X24" i="3"/>
  <c r="M25" i="3" s="1"/>
  <c r="W24" i="3"/>
  <c r="L25" i="3" s="1"/>
  <c r="T24" i="3"/>
  <c r="I25" i="3" s="1"/>
  <c r="P24" i="3"/>
  <c r="Q24" i="3"/>
  <c r="R24" i="3" s="1"/>
  <c r="V24" i="3"/>
  <c r="K25" i="3" s="1"/>
  <c r="N103" i="2" l="1"/>
  <c r="O103" i="2" s="1"/>
  <c r="W103" i="2" s="1"/>
  <c r="L104" i="2" s="1"/>
  <c r="V103" i="2"/>
  <c r="K104" i="2" s="1"/>
  <c r="N25" i="3"/>
  <c r="O25" i="3" s="1"/>
  <c r="X103" i="2" l="1"/>
  <c r="M104" i="2" s="1"/>
  <c r="N104" i="2" s="1"/>
  <c r="O104" i="2" s="1"/>
  <c r="T103" i="2"/>
  <c r="I104" i="2" s="1"/>
  <c r="Q103" i="2"/>
  <c r="R103" i="2" s="1"/>
  <c r="U103" i="2"/>
  <c r="J104" i="2" s="1"/>
  <c r="P103" i="2"/>
  <c r="Q25" i="3"/>
  <c r="R25" i="3" s="1"/>
  <c r="T25" i="3"/>
  <c r="I26" i="3" s="1"/>
  <c r="W25" i="3"/>
  <c r="L26" i="3" s="1"/>
  <c r="X25" i="3"/>
  <c r="M26" i="3" s="1"/>
  <c r="P25" i="3"/>
  <c r="V25" i="3"/>
  <c r="K26" i="3" s="1"/>
  <c r="U25" i="3"/>
  <c r="J26" i="3" s="1"/>
  <c r="W104" i="2" l="1"/>
  <c r="L105" i="2" s="1"/>
  <c r="P104" i="2"/>
  <c r="X104" i="2"/>
  <c r="M105" i="2" s="1"/>
  <c r="V104" i="2"/>
  <c r="K105" i="2" s="1"/>
  <c r="U104" i="2"/>
  <c r="J105" i="2" s="1"/>
  <c r="T104" i="2"/>
  <c r="I105" i="2" s="1"/>
  <c r="Q104" i="2"/>
  <c r="R104" i="2" s="1"/>
  <c r="N26" i="3"/>
  <c r="O26" i="3" s="1"/>
  <c r="N105" i="2" l="1"/>
  <c r="O105" i="2" s="1"/>
  <c r="T105" i="2"/>
  <c r="I106" i="2" s="1"/>
  <c r="V26" i="3"/>
  <c r="U26" i="3"/>
  <c r="P26" i="3"/>
  <c r="H26" i="3" s="1"/>
  <c r="X26" i="3"/>
  <c r="T26" i="3"/>
  <c r="W26" i="3"/>
  <c r="Q26" i="3"/>
  <c r="R26" i="3" s="1"/>
  <c r="S26" i="3" s="1"/>
  <c r="Q105" i="2" l="1"/>
  <c r="R105" i="2" s="1"/>
  <c r="U105" i="2"/>
  <c r="J106" i="2" s="1"/>
  <c r="N106" i="2" s="1"/>
  <c r="O106" i="2" s="1"/>
  <c r="V105" i="2"/>
  <c r="K106" i="2" s="1"/>
  <c r="W105" i="2"/>
  <c r="L106" i="2" s="1"/>
  <c r="X105" i="2"/>
  <c r="M106" i="2" s="1"/>
  <c r="P105" i="2"/>
  <c r="X106" i="2" l="1"/>
  <c r="M107" i="2" s="1"/>
  <c r="W106" i="2"/>
  <c r="L107" i="2" s="1"/>
  <c r="T106" i="2"/>
  <c r="I107" i="2" s="1"/>
  <c r="Q106" i="2"/>
  <c r="R106" i="2" s="1"/>
  <c r="V106" i="2"/>
  <c r="K107" i="2" s="1"/>
  <c r="U106" i="2"/>
  <c r="J107" i="2" s="1"/>
  <c r="P106" i="2"/>
  <c r="N107" i="2" l="1"/>
  <c r="O107" i="2" s="1"/>
  <c r="Q107" i="2" l="1"/>
  <c r="R107" i="2" s="1"/>
  <c r="U107" i="2"/>
  <c r="J108" i="2" s="1"/>
  <c r="X107" i="2"/>
  <c r="M108" i="2" s="1"/>
  <c r="W107" i="2"/>
  <c r="L108" i="2" s="1"/>
  <c r="V107" i="2"/>
  <c r="K108" i="2" s="1"/>
  <c r="T107" i="2"/>
  <c r="I108" i="2" s="1"/>
  <c r="P107" i="2"/>
  <c r="N108" i="2" l="1"/>
  <c r="O108" i="2" s="1"/>
  <c r="V108" i="2" l="1"/>
  <c r="K109" i="2" s="1"/>
  <c r="T108" i="2"/>
  <c r="I109" i="2" s="1"/>
  <c r="X108" i="2"/>
  <c r="M109" i="2" s="1"/>
  <c r="W108" i="2"/>
  <c r="L109" i="2" s="1"/>
  <c r="P108" i="2"/>
  <c r="U108" i="2"/>
  <c r="J109" i="2" s="1"/>
  <c r="Q108" i="2"/>
  <c r="R108" i="2" s="1"/>
  <c r="N109" i="2" l="1"/>
  <c r="O109" i="2" s="1"/>
  <c r="X109" i="2" l="1"/>
  <c r="M110" i="2" s="1"/>
  <c r="V109" i="2"/>
  <c r="K110" i="2" s="1"/>
  <c r="Q109" i="2"/>
  <c r="R109" i="2" s="1"/>
  <c r="U109" i="2"/>
  <c r="J110" i="2" s="1"/>
  <c r="P109" i="2"/>
  <c r="W109" i="2"/>
  <c r="L110" i="2" s="1"/>
  <c r="T109" i="2"/>
  <c r="I110" i="2" s="1"/>
  <c r="N110" i="2" s="1"/>
  <c r="O110" i="2" s="1"/>
  <c r="U110" i="2" l="1"/>
  <c r="J111" i="2" s="1"/>
  <c r="W110" i="2"/>
  <c r="L111" i="2" s="1"/>
  <c r="Q110" i="2"/>
  <c r="R110" i="2" s="1"/>
  <c r="T110" i="2"/>
  <c r="I111" i="2" s="1"/>
  <c r="V110" i="2"/>
  <c r="K111" i="2" s="1"/>
  <c r="X110" i="2"/>
  <c r="M111" i="2" s="1"/>
  <c r="P110" i="2"/>
  <c r="N111" i="2" l="1"/>
  <c r="O111" i="2" s="1"/>
  <c r="Q111" i="2"/>
  <c r="R111" i="2" s="1"/>
  <c r="U111" i="2"/>
  <c r="J112" i="2" s="1"/>
  <c r="X111" i="2" l="1"/>
  <c r="M112" i="2" s="1"/>
  <c r="P111" i="2"/>
  <c r="V111" i="2"/>
  <c r="K112" i="2" s="1"/>
  <c r="T111" i="2"/>
  <c r="I112" i="2" s="1"/>
  <c r="N112" i="2" s="1"/>
  <c r="O112" i="2" s="1"/>
  <c r="W111" i="2"/>
  <c r="L112" i="2" s="1"/>
  <c r="W112" i="2" l="1"/>
  <c r="L113" i="2" s="1"/>
  <c r="N113" i="2" s="1"/>
  <c r="O113" i="2" s="1"/>
  <c r="Q112" i="2"/>
  <c r="R112" i="2" s="1"/>
  <c r="U112" i="2"/>
  <c r="J113" i="2" s="1"/>
  <c r="X112" i="2"/>
  <c r="M113" i="2" s="1"/>
  <c r="P112" i="2"/>
  <c r="T112" i="2"/>
  <c r="I113" i="2" s="1"/>
  <c r="V112" i="2"/>
  <c r="K113" i="2" s="1"/>
  <c r="T113" i="2" l="1"/>
  <c r="I114" i="2" s="1"/>
  <c r="V113" i="2"/>
  <c r="K114" i="2" s="1"/>
  <c r="Q113" i="2"/>
  <c r="R113" i="2" s="1"/>
  <c r="U113" i="2"/>
  <c r="J114" i="2" s="1"/>
  <c r="X113" i="2"/>
  <c r="M114" i="2" s="1"/>
  <c r="P113" i="2"/>
  <c r="W113" i="2"/>
  <c r="L114" i="2" s="1"/>
  <c r="N114" i="2" l="1"/>
  <c r="O114" i="2" s="1"/>
  <c r="X114" i="2" l="1"/>
  <c r="M115" i="2" s="1"/>
  <c r="V114" i="2"/>
  <c r="K115" i="2" s="1"/>
  <c r="T114" i="2"/>
  <c r="I115" i="2" s="1"/>
  <c r="P114" i="2"/>
  <c r="W114" i="2"/>
  <c r="L115" i="2" s="1"/>
  <c r="U114" i="2"/>
  <c r="J115" i="2" s="1"/>
  <c r="Q114" i="2"/>
  <c r="R114" i="2" s="1"/>
  <c r="N115" i="2" l="1"/>
  <c r="O115" i="2" s="1"/>
  <c r="P115" i="2" l="1"/>
  <c r="U115" i="2"/>
  <c r="J116" i="2" s="1"/>
  <c r="V115" i="2"/>
  <c r="K116" i="2" s="1"/>
  <c r="W115" i="2"/>
  <c r="L116" i="2" s="1"/>
  <c r="Q115" i="2"/>
  <c r="R115" i="2" s="1"/>
  <c r="T115" i="2"/>
  <c r="I116" i="2" s="1"/>
  <c r="X115" i="2"/>
  <c r="M116" i="2" s="1"/>
  <c r="N116" i="2" l="1"/>
  <c r="O116" i="2" s="1"/>
  <c r="Q116" i="2" s="1"/>
  <c r="R116" i="2" s="1"/>
  <c r="T116" i="2" l="1"/>
  <c r="I117" i="2" s="1"/>
  <c r="P116" i="2"/>
  <c r="U116" i="2"/>
  <c r="J117" i="2" s="1"/>
  <c r="V116" i="2"/>
  <c r="K117" i="2" s="1"/>
  <c r="W116" i="2"/>
  <c r="L117" i="2" s="1"/>
  <c r="X116" i="2"/>
  <c r="M117" i="2" s="1"/>
  <c r="N117" i="2" l="1"/>
  <c r="O117" i="2" s="1"/>
  <c r="X117" i="2" l="1"/>
  <c r="M118" i="2" s="1"/>
  <c r="W117" i="2"/>
  <c r="L118" i="2" s="1"/>
  <c r="V117" i="2"/>
  <c r="K118" i="2" s="1"/>
  <c r="U117" i="2"/>
  <c r="J118" i="2" s="1"/>
  <c r="T117" i="2"/>
  <c r="I118" i="2" s="1"/>
  <c r="Q117" i="2"/>
  <c r="R117" i="2" s="1"/>
  <c r="P117" i="2"/>
  <c r="N118" i="2" l="1"/>
  <c r="O118" i="2" s="1"/>
  <c r="Q118" i="2" s="1"/>
  <c r="R118" i="2" s="1"/>
  <c r="T118" i="2" l="1"/>
  <c r="I119" i="2" s="1"/>
  <c r="U118" i="2"/>
  <c r="J119" i="2" s="1"/>
  <c r="P118" i="2"/>
  <c r="V118" i="2"/>
  <c r="K119" i="2" s="1"/>
  <c r="W118" i="2"/>
  <c r="L119" i="2" s="1"/>
  <c r="X118" i="2"/>
  <c r="M119" i="2" s="1"/>
  <c r="N119" i="2" l="1"/>
  <c r="O119" i="2" s="1"/>
  <c r="T119" i="2"/>
  <c r="I120" i="2" s="1"/>
  <c r="W119" i="2"/>
  <c r="L120" i="2" s="1"/>
  <c r="P119" i="2"/>
  <c r="U119" i="2"/>
  <c r="J120" i="2" s="1"/>
  <c r="V119" i="2" l="1"/>
  <c r="K120" i="2" s="1"/>
  <c r="X119" i="2"/>
  <c r="M120" i="2" s="1"/>
  <c r="Q119" i="2"/>
  <c r="R119" i="2" s="1"/>
  <c r="N120" i="2"/>
  <c r="O120" i="2" s="1"/>
  <c r="V120" i="2" s="1"/>
  <c r="K121" i="2" s="1"/>
  <c r="P120" i="2" l="1"/>
  <c r="Q120" i="2"/>
  <c r="R120" i="2" s="1"/>
  <c r="T120" i="2"/>
  <c r="I121" i="2" s="1"/>
  <c r="U120" i="2"/>
  <c r="J121" i="2" s="1"/>
  <c r="W120" i="2"/>
  <c r="L121" i="2" s="1"/>
  <c r="X120" i="2"/>
  <c r="M121" i="2" s="1"/>
  <c r="N121" i="2" l="1"/>
  <c r="O121" i="2" s="1"/>
  <c r="T121" i="2" l="1"/>
  <c r="I122" i="2" s="1"/>
  <c r="U121" i="2"/>
  <c r="J122" i="2" s="1"/>
  <c r="V121" i="2"/>
  <c r="K122" i="2" s="1"/>
  <c r="W121" i="2"/>
  <c r="L122" i="2" s="1"/>
  <c r="X121" i="2"/>
  <c r="M122" i="2" s="1"/>
  <c r="P121" i="2"/>
  <c r="Q121" i="2"/>
  <c r="R121" i="2" s="1"/>
  <c r="N122" i="2" l="1"/>
  <c r="O122" i="2" s="1"/>
  <c r="P122" i="2" l="1"/>
  <c r="T122" i="2"/>
  <c r="I123" i="2" s="1"/>
  <c r="Q122" i="2"/>
  <c r="R122" i="2" s="1"/>
  <c r="X122" i="2"/>
  <c r="M123" i="2" s="1"/>
  <c r="U122" i="2"/>
  <c r="J123" i="2" s="1"/>
  <c r="N123" i="2" s="1"/>
  <c r="O123" i="2" s="1"/>
  <c r="W122" i="2"/>
  <c r="L123" i="2" s="1"/>
  <c r="V122" i="2"/>
  <c r="K123" i="2" s="1"/>
  <c r="P123" i="2" l="1"/>
  <c r="Q123" i="2"/>
  <c r="R123" i="2" s="1"/>
  <c r="T123" i="2"/>
  <c r="I124" i="2" s="1"/>
  <c r="U123" i="2"/>
  <c r="J124" i="2" s="1"/>
  <c r="V123" i="2"/>
  <c r="K124" i="2" s="1"/>
  <c r="W123" i="2"/>
  <c r="L124" i="2" s="1"/>
  <c r="X123" i="2"/>
  <c r="M124" i="2" s="1"/>
  <c r="N124" i="2" l="1"/>
  <c r="O124" i="2" s="1"/>
  <c r="P124" i="2" l="1"/>
  <c r="Q124" i="2"/>
  <c r="R124" i="2" s="1"/>
  <c r="T124" i="2"/>
  <c r="I125" i="2" s="1"/>
  <c r="U124" i="2"/>
  <c r="J125" i="2" s="1"/>
  <c r="V124" i="2"/>
  <c r="K125" i="2" s="1"/>
  <c r="W124" i="2"/>
  <c r="L125" i="2" s="1"/>
  <c r="X124" i="2"/>
  <c r="M125" i="2" s="1"/>
  <c r="N125" i="2" l="1"/>
  <c r="O125" i="2" s="1"/>
  <c r="P125" i="2" l="1"/>
  <c r="Q125" i="2"/>
  <c r="R125" i="2" s="1"/>
  <c r="T125" i="2"/>
  <c r="I126" i="2" s="1"/>
  <c r="U125" i="2"/>
  <c r="J126" i="2" s="1"/>
  <c r="V125" i="2"/>
  <c r="K126" i="2" s="1"/>
  <c r="W125" i="2"/>
  <c r="L126" i="2" s="1"/>
  <c r="X125" i="2"/>
  <c r="M126" i="2" s="1"/>
  <c r="N126" i="2" l="1"/>
  <c r="O126" i="2" s="1"/>
  <c r="P126" i="2" l="1"/>
  <c r="Q126" i="2"/>
  <c r="R126" i="2" s="1"/>
  <c r="T126" i="2"/>
  <c r="I127" i="2" s="1"/>
  <c r="U126" i="2"/>
  <c r="J127" i="2" s="1"/>
  <c r="V126" i="2"/>
  <c r="K127" i="2" s="1"/>
  <c r="W126" i="2"/>
  <c r="L127" i="2" s="1"/>
  <c r="X126" i="2"/>
  <c r="M127" i="2" s="1"/>
  <c r="N127" i="2" l="1"/>
  <c r="O127" i="2" s="1"/>
  <c r="P127" i="2" l="1"/>
  <c r="Q127" i="2"/>
  <c r="R127" i="2" s="1"/>
  <c r="T127" i="2"/>
  <c r="I128" i="2" s="1"/>
  <c r="U127" i="2"/>
  <c r="J128" i="2" s="1"/>
  <c r="V127" i="2"/>
  <c r="K128" i="2" s="1"/>
  <c r="W127" i="2"/>
  <c r="L128" i="2" s="1"/>
  <c r="X127" i="2"/>
  <c r="M128" i="2" s="1"/>
  <c r="N128" i="2" l="1"/>
  <c r="O128" i="2" s="1"/>
  <c r="P128" i="2" l="1"/>
  <c r="Q128" i="2"/>
  <c r="R128" i="2" s="1"/>
  <c r="T128" i="2"/>
  <c r="I129" i="2" s="1"/>
  <c r="U128" i="2"/>
  <c r="J129" i="2" s="1"/>
  <c r="V128" i="2"/>
  <c r="K129" i="2" s="1"/>
  <c r="W128" i="2"/>
  <c r="L129" i="2" s="1"/>
  <c r="X128" i="2"/>
  <c r="M129" i="2" s="1"/>
  <c r="N129" i="2" l="1"/>
  <c r="O129" i="2" s="1"/>
  <c r="P129" i="2" l="1"/>
  <c r="Q129" i="2"/>
  <c r="R129" i="2" s="1"/>
  <c r="T129" i="2"/>
  <c r="I130" i="2" s="1"/>
  <c r="U129" i="2"/>
  <c r="J130" i="2" s="1"/>
  <c r="V129" i="2"/>
  <c r="K130" i="2" s="1"/>
  <c r="W129" i="2"/>
  <c r="L130" i="2" s="1"/>
  <c r="X129" i="2"/>
  <c r="M130" i="2" s="1"/>
  <c r="N130" i="2" l="1"/>
  <c r="O130" i="2" s="1"/>
  <c r="Q130" i="2" l="1"/>
  <c r="R130" i="2" s="1"/>
  <c r="U130" i="2"/>
  <c r="J131" i="2" s="1"/>
  <c r="V130" i="2"/>
  <c r="K131" i="2" s="1"/>
  <c r="X130" i="2"/>
  <c r="M131" i="2" s="1"/>
  <c r="P130" i="2"/>
  <c r="T130" i="2"/>
  <c r="I131" i="2" s="1"/>
  <c r="W130" i="2"/>
  <c r="L131" i="2" s="1"/>
  <c r="N131" i="2" l="1"/>
  <c r="O131" i="2" s="1"/>
  <c r="Q131" i="2" l="1"/>
  <c r="R131" i="2" s="1"/>
  <c r="T131" i="2"/>
  <c r="I132" i="2" s="1"/>
  <c r="U131" i="2"/>
  <c r="J132" i="2" s="1"/>
  <c r="W131" i="2"/>
  <c r="L132" i="2" s="1"/>
  <c r="P131" i="2"/>
  <c r="V131" i="2"/>
  <c r="K132" i="2" s="1"/>
  <c r="X131" i="2"/>
  <c r="M132" i="2" s="1"/>
  <c r="N132" i="2" l="1"/>
  <c r="O132" i="2" s="1"/>
  <c r="Q132" i="2" l="1"/>
  <c r="R132" i="2" s="1"/>
  <c r="T132" i="2"/>
  <c r="I133" i="2" s="1"/>
  <c r="V132" i="2"/>
  <c r="K133" i="2" s="1"/>
  <c r="X132" i="2"/>
  <c r="M133" i="2" s="1"/>
  <c r="P132" i="2"/>
  <c r="U132" i="2"/>
  <c r="J133" i="2" s="1"/>
  <c r="W132" i="2"/>
  <c r="L133" i="2" s="1"/>
  <c r="N133" i="2" l="1"/>
  <c r="O133" i="2" s="1"/>
  <c r="P133" i="2" l="1"/>
  <c r="Q133" i="2"/>
  <c r="R133" i="2" s="1"/>
  <c r="T133" i="2"/>
  <c r="I134" i="2" s="1"/>
  <c r="U133" i="2"/>
  <c r="J134" i="2" s="1"/>
  <c r="W133" i="2"/>
  <c r="L134" i="2" s="1"/>
  <c r="X133" i="2"/>
  <c r="M134" i="2" s="1"/>
  <c r="V133" i="2"/>
  <c r="K134" i="2" s="1"/>
  <c r="N134" i="2" l="1"/>
  <c r="O134" i="2" s="1"/>
  <c r="V134" i="2" l="1"/>
  <c r="K135" i="2" s="1"/>
  <c r="X134" i="2"/>
  <c r="M135" i="2" s="1"/>
  <c r="P134" i="2"/>
  <c r="Q134" i="2"/>
  <c r="R134" i="2" s="1"/>
  <c r="T134" i="2"/>
  <c r="I135" i="2" s="1"/>
  <c r="U134" i="2"/>
  <c r="J135" i="2" s="1"/>
  <c r="W134" i="2"/>
  <c r="L135" i="2" s="1"/>
  <c r="N135" i="2" l="1"/>
  <c r="O135" i="2" s="1"/>
  <c r="Q135" i="2" l="1"/>
  <c r="R135" i="2" s="1"/>
  <c r="U135" i="2"/>
  <c r="J136" i="2" s="1"/>
  <c r="V135" i="2"/>
  <c r="K136" i="2" s="1"/>
  <c r="X135" i="2"/>
  <c r="M136" i="2" s="1"/>
  <c r="P135" i="2"/>
  <c r="T135" i="2"/>
  <c r="I136" i="2" s="1"/>
  <c r="W135" i="2"/>
  <c r="L136" i="2" s="1"/>
  <c r="N136" i="2" l="1"/>
  <c r="O136" i="2" s="1"/>
  <c r="V136" i="2" l="1"/>
  <c r="K137" i="2" s="1"/>
  <c r="X136" i="2"/>
  <c r="M137" i="2" s="1"/>
  <c r="P136" i="2"/>
  <c r="Q136" i="2"/>
  <c r="R136" i="2" s="1"/>
  <c r="T136" i="2"/>
  <c r="I137" i="2" s="1"/>
  <c r="U136" i="2"/>
  <c r="J137" i="2" s="1"/>
  <c r="W136" i="2"/>
  <c r="L137" i="2" s="1"/>
  <c r="N137" i="2" l="1"/>
  <c r="O137" i="2" s="1"/>
  <c r="Q137" i="2" l="1"/>
  <c r="R137" i="2" s="1"/>
  <c r="T137" i="2"/>
  <c r="I138" i="2" s="1"/>
  <c r="V137" i="2"/>
  <c r="K138" i="2" s="1"/>
  <c r="X137" i="2"/>
  <c r="M138" i="2" s="1"/>
  <c r="P137" i="2"/>
  <c r="U137" i="2"/>
  <c r="J138" i="2" s="1"/>
  <c r="W137" i="2"/>
  <c r="L138" i="2" s="1"/>
  <c r="N138" i="2" l="1"/>
  <c r="O138" i="2" s="1"/>
  <c r="Q138" i="2" l="1"/>
  <c r="R138" i="2" s="1"/>
  <c r="T138" i="2"/>
  <c r="I139" i="2" s="1"/>
  <c r="V138" i="2"/>
  <c r="K139" i="2" s="1"/>
  <c r="X138" i="2"/>
  <c r="M139" i="2" s="1"/>
  <c r="P138" i="2"/>
  <c r="U138" i="2"/>
  <c r="J139" i="2" s="1"/>
  <c r="W138" i="2"/>
  <c r="L139" i="2" s="1"/>
  <c r="N139" i="2" l="1"/>
  <c r="O139" i="2" s="1"/>
  <c r="Q139" i="2" l="1"/>
  <c r="R139" i="2" s="1"/>
  <c r="T139" i="2"/>
  <c r="I140" i="2" s="1"/>
  <c r="V139" i="2"/>
  <c r="K140" i="2" s="1"/>
  <c r="W139" i="2"/>
  <c r="L140" i="2" s="1"/>
  <c r="P139" i="2"/>
  <c r="U139" i="2"/>
  <c r="J140" i="2" s="1"/>
  <c r="X139" i="2"/>
  <c r="M140" i="2" s="1"/>
  <c r="N140" i="2" l="1"/>
  <c r="O140" i="2" s="1"/>
  <c r="X140" i="2" l="1"/>
  <c r="M141" i="2" s="1"/>
  <c r="V140" i="2"/>
  <c r="K141" i="2" s="1"/>
  <c r="T140" i="2"/>
  <c r="I141" i="2" s="1"/>
  <c r="Q140" i="2"/>
  <c r="R140" i="2" s="1"/>
  <c r="P140" i="2"/>
  <c r="W140" i="2"/>
  <c r="L141" i="2" s="1"/>
  <c r="U140" i="2"/>
  <c r="J141" i="2" s="1"/>
  <c r="N141" i="2" l="1"/>
  <c r="O141" i="2" s="1"/>
  <c r="Q141" i="2" l="1"/>
  <c r="R141" i="2" s="1"/>
  <c r="T141" i="2"/>
  <c r="I142" i="2" s="1"/>
  <c r="W141" i="2"/>
  <c r="L142" i="2" s="1"/>
  <c r="P141" i="2"/>
  <c r="U141" i="2"/>
  <c r="J142" i="2" s="1"/>
  <c r="V141" i="2"/>
  <c r="K142" i="2" s="1"/>
  <c r="X141" i="2"/>
  <c r="M142" i="2" s="1"/>
  <c r="N142" i="2" l="1"/>
  <c r="O142" i="2" s="1"/>
  <c r="U142" i="2" l="1"/>
  <c r="J143" i="2" s="1"/>
  <c r="W142" i="2"/>
  <c r="L143" i="2" s="1"/>
  <c r="P142" i="2"/>
  <c r="Q142" i="2"/>
  <c r="R142" i="2" s="1"/>
  <c r="T142" i="2"/>
  <c r="I143" i="2" s="1"/>
  <c r="V142" i="2"/>
  <c r="K143" i="2" s="1"/>
  <c r="X142" i="2"/>
  <c r="M143" i="2" s="1"/>
  <c r="N143" i="2" l="1"/>
  <c r="O143" i="2" s="1"/>
  <c r="Q143" i="2" l="1"/>
  <c r="R143" i="2" s="1"/>
  <c r="U143" i="2"/>
  <c r="J144" i="2" s="1"/>
  <c r="V143" i="2"/>
  <c r="K144" i="2" s="1"/>
  <c r="X143" i="2"/>
  <c r="M144" i="2" s="1"/>
  <c r="P143" i="2"/>
  <c r="T143" i="2"/>
  <c r="I144" i="2" s="1"/>
  <c r="W143" i="2"/>
  <c r="L144" i="2" s="1"/>
  <c r="N144" i="2" l="1"/>
  <c r="O144" i="2" s="1"/>
  <c r="P144" i="2" l="1"/>
  <c r="U144" i="2"/>
  <c r="J145" i="2" s="1"/>
  <c r="W144" i="2"/>
  <c r="L145" i="2" s="1"/>
  <c r="Q144" i="2"/>
  <c r="R144" i="2" s="1"/>
  <c r="T144" i="2"/>
  <c r="I145" i="2" s="1"/>
  <c r="V144" i="2"/>
  <c r="K145" i="2" s="1"/>
  <c r="X144" i="2"/>
  <c r="M145" i="2" s="1"/>
  <c r="N145" i="2" l="1"/>
  <c r="O145" i="2" s="1"/>
  <c r="Q145" i="2" l="1"/>
  <c r="R145" i="2" s="1"/>
  <c r="T145" i="2"/>
  <c r="I146" i="2" s="1"/>
  <c r="V145" i="2"/>
  <c r="K146" i="2" s="1"/>
  <c r="X145" i="2"/>
  <c r="M146" i="2" s="1"/>
  <c r="P145" i="2"/>
  <c r="U145" i="2"/>
  <c r="J146" i="2" s="1"/>
  <c r="W145" i="2"/>
  <c r="L146" i="2" s="1"/>
  <c r="N146" i="2" l="1"/>
  <c r="O146" i="2" s="1"/>
  <c r="W146" i="2" l="1"/>
  <c r="L147" i="2" s="1"/>
  <c r="U146" i="2"/>
  <c r="J147" i="2" s="1"/>
  <c r="T146" i="2"/>
  <c r="I147" i="2" s="1"/>
  <c r="Q146" i="2"/>
  <c r="R146" i="2" s="1"/>
  <c r="P146" i="2"/>
  <c r="X146" i="2"/>
  <c r="M147" i="2" s="1"/>
  <c r="V146" i="2"/>
  <c r="K147" i="2" s="1"/>
  <c r="N147" i="2" l="1"/>
  <c r="O147" i="2" s="1"/>
  <c r="Q147" i="2" l="1"/>
  <c r="R147" i="2" s="1"/>
  <c r="W147" i="2"/>
  <c r="L148" i="2" s="1"/>
  <c r="T147" i="2"/>
  <c r="I148" i="2" s="1"/>
  <c r="U147" i="2"/>
  <c r="J148" i="2" s="1"/>
  <c r="V147" i="2"/>
  <c r="K148" i="2" s="1"/>
  <c r="X147" i="2"/>
  <c r="M148" i="2" s="1"/>
  <c r="P147" i="2"/>
  <c r="N148" i="2" l="1"/>
  <c r="O148" i="2" s="1"/>
  <c r="V148" i="2" l="1"/>
  <c r="K149" i="2" s="1"/>
  <c r="T148" i="2"/>
  <c r="I149" i="2" s="1"/>
  <c r="X148" i="2"/>
  <c r="M149" i="2" s="1"/>
  <c r="P148" i="2"/>
  <c r="Q148" i="2"/>
  <c r="R148" i="2" s="1"/>
  <c r="U148" i="2"/>
  <c r="J149" i="2" s="1"/>
  <c r="W148" i="2"/>
  <c r="L149" i="2" s="1"/>
  <c r="N149" i="2" l="1"/>
  <c r="O149" i="2" s="1"/>
  <c r="W149" i="2" l="1"/>
  <c r="L150" i="2" s="1"/>
  <c r="Q149" i="2"/>
  <c r="R149" i="2" s="1"/>
  <c r="X149" i="2"/>
  <c r="M150" i="2" s="1"/>
  <c r="P149" i="2"/>
  <c r="U149" i="2"/>
  <c r="J150" i="2" s="1"/>
  <c r="T149" i="2"/>
  <c r="I150" i="2" s="1"/>
  <c r="V149" i="2"/>
  <c r="K150" i="2" s="1"/>
  <c r="N150" i="2" s="1"/>
  <c r="O150" i="2" s="1"/>
  <c r="T150" i="2" s="1"/>
  <c r="I151" i="2" s="1"/>
  <c r="W150" i="2" l="1"/>
  <c r="L151" i="2" s="1"/>
  <c r="Q150" i="2"/>
  <c r="R150" i="2" s="1"/>
  <c r="U150" i="2"/>
  <c r="J151" i="2" s="1"/>
  <c r="V150" i="2"/>
  <c r="K151" i="2" s="1"/>
  <c r="X150" i="2"/>
  <c r="M151" i="2" s="1"/>
  <c r="P150" i="2"/>
  <c r="N151" i="2" l="1"/>
  <c r="O151" i="2" s="1"/>
  <c r="X151" i="2" l="1"/>
  <c r="M152" i="2" s="1"/>
  <c r="V151" i="2"/>
  <c r="K152" i="2" s="1"/>
  <c r="T151" i="2"/>
  <c r="I152" i="2" s="1"/>
  <c r="Q151" i="2"/>
  <c r="R151" i="2" s="1"/>
  <c r="P151" i="2"/>
  <c r="W151" i="2"/>
  <c r="L152" i="2" s="1"/>
  <c r="U151" i="2"/>
  <c r="J152" i="2" s="1"/>
  <c r="N152" i="2" l="1"/>
  <c r="O152" i="2" s="1"/>
  <c r="Q152" i="2" l="1"/>
  <c r="R152" i="2" s="1"/>
  <c r="T152" i="2"/>
  <c r="I153" i="2" s="1"/>
  <c r="U152" i="2"/>
  <c r="J153" i="2" s="1"/>
  <c r="V152" i="2"/>
  <c r="K153" i="2" s="1"/>
  <c r="W152" i="2"/>
  <c r="L153" i="2" s="1"/>
  <c r="P152" i="2"/>
  <c r="X152" i="2"/>
  <c r="M153" i="2" s="1"/>
  <c r="N153" i="2" l="1"/>
  <c r="O153" i="2" s="1"/>
  <c r="X153" i="2" l="1"/>
  <c r="M154" i="2" s="1"/>
  <c r="V153" i="2"/>
  <c r="K154" i="2" s="1"/>
  <c r="U153" i="2"/>
  <c r="J154" i="2" s="1"/>
  <c r="T153" i="2"/>
  <c r="I154" i="2" s="1"/>
  <c r="W153" i="2"/>
  <c r="L154" i="2" s="1"/>
  <c r="Q153" i="2"/>
  <c r="R153" i="2" s="1"/>
  <c r="P153" i="2"/>
  <c r="N154" i="2" l="1"/>
  <c r="O154" i="2" s="1"/>
  <c r="X154" i="2" l="1"/>
  <c r="M155" i="2" s="1"/>
  <c r="V154" i="2"/>
  <c r="K155" i="2" s="1"/>
  <c r="N155" i="2" s="1"/>
  <c r="O155" i="2" s="1"/>
  <c r="U154" i="2"/>
  <c r="J155" i="2" s="1"/>
  <c r="P154" i="2"/>
  <c r="W154" i="2"/>
  <c r="L155" i="2" s="1"/>
  <c r="Q154" i="2"/>
  <c r="R154" i="2" s="1"/>
  <c r="T154" i="2"/>
  <c r="I155" i="2" s="1"/>
  <c r="P155" i="2" l="1"/>
  <c r="Q155" i="2"/>
  <c r="R155" i="2" s="1"/>
  <c r="T155" i="2"/>
  <c r="I156" i="2" s="1"/>
  <c r="U155" i="2"/>
  <c r="J156" i="2" s="1"/>
  <c r="V155" i="2"/>
  <c r="K156" i="2" s="1"/>
  <c r="W155" i="2"/>
  <c r="L156" i="2" s="1"/>
  <c r="X155" i="2"/>
  <c r="M156" i="2" s="1"/>
  <c r="N156" i="2" l="1"/>
  <c r="O156" i="2" s="1"/>
  <c r="X156" i="2" l="1"/>
  <c r="M157" i="2" s="1"/>
  <c r="W156" i="2"/>
  <c r="L157" i="2" s="1"/>
  <c r="V156" i="2"/>
  <c r="K157" i="2" s="1"/>
  <c r="U156" i="2"/>
  <c r="J157" i="2" s="1"/>
  <c r="T156" i="2"/>
  <c r="I157" i="2" s="1"/>
  <c r="Q156" i="2"/>
  <c r="R156" i="2" s="1"/>
  <c r="P156" i="2"/>
  <c r="N157" i="2" l="1"/>
  <c r="O157" i="2" s="1"/>
  <c r="P157" i="2" l="1"/>
  <c r="W157" i="2"/>
  <c r="L158" i="2" s="1"/>
  <c r="Q157" i="2"/>
  <c r="R157" i="2" s="1"/>
  <c r="U157" i="2"/>
  <c r="J158" i="2" s="1"/>
  <c r="V157" i="2"/>
  <c r="K158" i="2" s="1"/>
  <c r="X157" i="2"/>
  <c r="M158" i="2" s="1"/>
  <c r="T157" i="2"/>
  <c r="I158" i="2" s="1"/>
  <c r="N158" i="2" l="1"/>
  <c r="O158" i="2" s="1"/>
  <c r="T158" i="2" l="1"/>
  <c r="I159" i="2" s="1"/>
  <c r="P158" i="2"/>
  <c r="U158" i="2"/>
  <c r="J159" i="2" s="1"/>
  <c r="Q158" i="2"/>
  <c r="R158" i="2" s="1"/>
  <c r="V158" i="2"/>
  <c r="K159" i="2" s="1"/>
  <c r="W158" i="2"/>
  <c r="L159" i="2" s="1"/>
  <c r="X158" i="2"/>
  <c r="M159" i="2" s="1"/>
  <c r="N159" i="2" l="1"/>
  <c r="O159" i="2" s="1"/>
  <c r="Q159" i="2" l="1"/>
  <c r="R159" i="2" s="1"/>
  <c r="T159" i="2"/>
  <c r="I160" i="2" s="1"/>
  <c r="P159" i="2"/>
  <c r="U159" i="2"/>
  <c r="J160" i="2" s="1"/>
  <c r="V159" i="2"/>
  <c r="K160" i="2" s="1"/>
  <c r="W159" i="2"/>
  <c r="L160" i="2" s="1"/>
  <c r="X159" i="2"/>
  <c r="M160" i="2" s="1"/>
  <c r="N160" i="2" l="1"/>
  <c r="O160" i="2" s="1"/>
  <c r="Q160" i="2" l="1"/>
  <c r="R160" i="2" s="1"/>
  <c r="X160" i="2"/>
  <c r="M161" i="2" s="1"/>
  <c r="P160" i="2"/>
  <c r="T160" i="2"/>
  <c r="I161" i="2" s="1"/>
  <c r="U160" i="2"/>
  <c r="J161" i="2" s="1"/>
  <c r="V160" i="2"/>
  <c r="K161" i="2" s="1"/>
  <c r="W160" i="2"/>
  <c r="L161" i="2" s="1"/>
  <c r="N161" i="2" l="1"/>
  <c r="O161" i="2" s="1"/>
  <c r="P161" i="2"/>
  <c r="U161" i="2"/>
  <c r="J162" i="2" s="1"/>
  <c r="V161" i="2"/>
  <c r="K162" i="2" s="1"/>
  <c r="Q161" i="2" l="1"/>
  <c r="R161" i="2" s="1"/>
  <c r="T161" i="2"/>
  <c r="I162" i="2" s="1"/>
  <c r="N162" i="2" s="1"/>
  <c r="O162" i="2" s="1"/>
  <c r="W161" i="2"/>
  <c r="L162" i="2" s="1"/>
  <c r="X161" i="2"/>
  <c r="M162" i="2" s="1"/>
  <c r="P162" i="2" l="1"/>
  <c r="Q162" i="2"/>
  <c r="R162" i="2" s="1"/>
  <c r="T162" i="2"/>
  <c r="I163" i="2" s="1"/>
  <c r="U162" i="2"/>
  <c r="J163" i="2" s="1"/>
  <c r="V162" i="2"/>
  <c r="K163" i="2" s="1"/>
  <c r="W162" i="2"/>
  <c r="L163" i="2" s="1"/>
  <c r="X162" i="2"/>
  <c r="M163" i="2" s="1"/>
  <c r="N163" i="2" l="1"/>
  <c r="O163" i="2" s="1"/>
  <c r="P163" i="2" l="1"/>
  <c r="Q163" i="2"/>
  <c r="R163" i="2" s="1"/>
  <c r="T163" i="2"/>
  <c r="I164" i="2" s="1"/>
  <c r="U163" i="2"/>
  <c r="J164" i="2" s="1"/>
  <c r="V163" i="2"/>
  <c r="K164" i="2" s="1"/>
  <c r="W163" i="2"/>
  <c r="L164" i="2" s="1"/>
  <c r="X163" i="2"/>
  <c r="M164" i="2" s="1"/>
  <c r="N164" i="2" l="1"/>
  <c r="O164" i="2" s="1"/>
  <c r="P164" i="2" l="1"/>
  <c r="H164" i="2" s="1"/>
  <c r="AB5" i="2" s="1"/>
  <c r="Q164" i="2"/>
  <c r="R164" i="2" s="1"/>
  <c r="S164" i="2" s="1"/>
  <c r="AA5" i="2" s="1"/>
  <c r="T164" i="2"/>
  <c r="U164" i="2"/>
  <c r="V164" i="2"/>
  <c r="W164" i="2"/>
  <c r="X164" i="2"/>
  <c r="I27" i="3" l="1"/>
  <c r="I165" i="2"/>
  <c r="J165" i="2"/>
  <c r="J27" i="3"/>
  <c r="K27" i="3"/>
  <c r="K165" i="2"/>
  <c r="L27" i="3"/>
  <c r="L165" i="2"/>
  <c r="M165" i="2"/>
  <c r="M27" i="3"/>
  <c r="N27" i="3" l="1"/>
  <c r="O27" i="3" s="1"/>
  <c r="N165" i="2"/>
  <c r="O165" i="2" s="1"/>
  <c r="P27" i="3" l="1"/>
  <c r="Q27" i="3"/>
  <c r="R27" i="3" s="1"/>
  <c r="T27" i="3"/>
  <c r="I28" i="3" s="1"/>
  <c r="U27" i="3"/>
  <c r="J28" i="3" s="1"/>
  <c r="V27" i="3"/>
  <c r="K28" i="3" s="1"/>
  <c r="W27" i="3"/>
  <c r="L28" i="3" s="1"/>
  <c r="X27" i="3"/>
  <c r="M28" i="3" s="1"/>
  <c r="P165" i="2"/>
  <c r="Q165" i="2"/>
  <c r="R165" i="2" s="1"/>
  <c r="T165" i="2"/>
  <c r="I166" i="2" s="1"/>
  <c r="U165" i="2"/>
  <c r="J166" i="2" s="1"/>
  <c r="V165" i="2"/>
  <c r="K166" i="2" s="1"/>
  <c r="W165" i="2"/>
  <c r="L166" i="2" s="1"/>
  <c r="X165" i="2"/>
  <c r="M166" i="2" s="1"/>
  <c r="N28" i="3" l="1"/>
  <c r="O28" i="3" s="1"/>
  <c r="N166" i="2"/>
  <c r="O166" i="2" s="1"/>
  <c r="P28" i="3" l="1"/>
  <c r="Q28" i="3"/>
  <c r="R28" i="3" s="1"/>
  <c r="T28" i="3"/>
  <c r="I29" i="3" s="1"/>
  <c r="U28" i="3"/>
  <c r="J29" i="3" s="1"/>
  <c r="V28" i="3"/>
  <c r="K29" i="3" s="1"/>
  <c r="W28" i="3"/>
  <c r="L29" i="3" s="1"/>
  <c r="X28" i="3"/>
  <c r="M29" i="3" s="1"/>
  <c r="P166" i="2"/>
  <c r="Q166" i="2"/>
  <c r="R166" i="2" s="1"/>
  <c r="T166" i="2"/>
  <c r="I167" i="2" s="1"/>
  <c r="U166" i="2"/>
  <c r="J167" i="2" s="1"/>
  <c r="V166" i="2"/>
  <c r="K167" i="2" s="1"/>
  <c r="W166" i="2"/>
  <c r="L167" i="2" s="1"/>
  <c r="X166" i="2"/>
  <c r="M167" i="2" s="1"/>
  <c r="N29" i="3" l="1"/>
  <c r="O29" i="3" s="1"/>
  <c r="N167" i="2"/>
  <c r="O167" i="2" s="1"/>
  <c r="P29" i="3" l="1"/>
  <c r="Q29" i="3"/>
  <c r="R29" i="3" s="1"/>
  <c r="T29" i="3"/>
  <c r="I30" i="3" s="1"/>
  <c r="U29" i="3"/>
  <c r="J30" i="3" s="1"/>
  <c r="V29" i="3"/>
  <c r="K30" i="3" s="1"/>
  <c r="W29" i="3"/>
  <c r="L30" i="3" s="1"/>
  <c r="X29" i="3"/>
  <c r="M30" i="3" s="1"/>
  <c r="P167" i="2"/>
  <c r="Q167" i="2"/>
  <c r="R167" i="2" s="1"/>
  <c r="T167" i="2"/>
  <c r="I168" i="2" s="1"/>
  <c r="U167" i="2"/>
  <c r="J168" i="2" s="1"/>
  <c r="V167" i="2"/>
  <c r="K168" i="2" s="1"/>
  <c r="W167" i="2"/>
  <c r="L168" i="2" s="1"/>
  <c r="X167" i="2"/>
  <c r="M168" i="2" s="1"/>
  <c r="N30" i="3" l="1"/>
  <c r="O30" i="3" s="1"/>
  <c r="N168" i="2"/>
  <c r="O168" i="2" s="1"/>
  <c r="P30" i="3" l="1"/>
  <c r="Q30" i="3"/>
  <c r="R30" i="3" s="1"/>
  <c r="T30" i="3"/>
  <c r="I31" i="3" s="1"/>
  <c r="U30" i="3"/>
  <c r="J31" i="3" s="1"/>
  <c r="V30" i="3"/>
  <c r="K31" i="3" s="1"/>
  <c r="W30" i="3"/>
  <c r="L31" i="3" s="1"/>
  <c r="X30" i="3"/>
  <c r="M31" i="3" s="1"/>
  <c r="P168" i="2"/>
  <c r="Q168" i="2"/>
  <c r="R168" i="2" s="1"/>
  <c r="T168" i="2"/>
  <c r="I169" i="2" s="1"/>
  <c r="U168" i="2"/>
  <c r="J169" i="2" s="1"/>
  <c r="V168" i="2"/>
  <c r="K169" i="2" s="1"/>
  <c r="W168" i="2"/>
  <c r="L169" i="2" s="1"/>
  <c r="X168" i="2"/>
  <c r="M169" i="2" s="1"/>
  <c r="N31" i="3" l="1"/>
  <c r="O31" i="3" s="1"/>
  <c r="N169" i="2"/>
  <c r="O169" i="2" s="1"/>
  <c r="P31" i="3" l="1"/>
  <c r="Q31" i="3"/>
  <c r="R31" i="3" s="1"/>
  <c r="T31" i="3"/>
  <c r="I32" i="3" s="1"/>
  <c r="U31" i="3"/>
  <c r="J32" i="3" s="1"/>
  <c r="V31" i="3"/>
  <c r="K32" i="3" s="1"/>
  <c r="W31" i="3"/>
  <c r="L32" i="3" s="1"/>
  <c r="X31" i="3"/>
  <c r="M32" i="3" s="1"/>
  <c r="P169" i="2"/>
  <c r="Q169" i="2"/>
  <c r="R169" i="2" s="1"/>
  <c r="T169" i="2"/>
  <c r="I170" i="2" s="1"/>
  <c r="U169" i="2"/>
  <c r="J170" i="2" s="1"/>
  <c r="V169" i="2"/>
  <c r="K170" i="2" s="1"/>
  <c r="W169" i="2"/>
  <c r="L170" i="2" s="1"/>
  <c r="X169" i="2"/>
  <c r="M170" i="2" s="1"/>
  <c r="N32" i="3" l="1"/>
  <c r="O32" i="3" s="1"/>
  <c r="N170" i="2"/>
  <c r="O170" i="2" s="1"/>
  <c r="P32" i="3" l="1"/>
  <c r="Q32" i="3"/>
  <c r="R32" i="3" s="1"/>
  <c r="T32" i="3"/>
  <c r="I33" i="3" s="1"/>
  <c r="U32" i="3"/>
  <c r="J33" i="3" s="1"/>
  <c r="V32" i="3"/>
  <c r="K33" i="3" s="1"/>
  <c r="W32" i="3"/>
  <c r="L33" i="3" s="1"/>
  <c r="X32" i="3"/>
  <c r="M33" i="3" s="1"/>
  <c r="P170" i="2"/>
  <c r="Q170" i="2"/>
  <c r="R170" i="2" s="1"/>
  <c r="T170" i="2"/>
  <c r="I171" i="2" s="1"/>
  <c r="U170" i="2"/>
  <c r="J171" i="2" s="1"/>
  <c r="V170" i="2"/>
  <c r="K171" i="2" s="1"/>
  <c r="W170" i="2"/>
  <c r="L171" i="2" s="1"/>
  <c r="X170" i="2"/>
  <c r="M171" i="2" s="1"/>
  <c r="N33" i="3" l="1"/>
  <c r="O33" i="3" s="1"/>
  <c r="N171" i="2"/>
  <c r="O171" i="2" s="1"/>
  <c r="P33" i="3" l="1"/>
  <c r="Q33" i="3"/>
  <c r="R33" i="3" s="1"/>
  <c r="T33" i="3"/>
  <c r="I34" i="3" s="1"/>
  <c r="U33" i="3"/>
  <c r="J34" i="3" s="1"/>
  <c r="V33" i="3"/>
  <c r="K34" i="3" s="1"/>
  <c r="W33" i="3"/>
  <c r="L34" i="3" s="1"/>
  <c r="X33" i="3"/>
  <c r="M34" i="3" s="1"/>
  <c r="P171" i="2"/>
  <c r="Q171" i="2"/>
  <c r="R171" i="2" s="1"/>
  <c r="T171" i="2"/>
  <c r="I172" i="2" s="1"/>
  <c r="U171" i="2"/>
  <c r="J172" i="2" s="1"/>
  <c r="V171" i="2"/>
  <c r="K172" i="2" s="1"/>
  <c r="W171" i="2"/>
  <c r="L172" i="2" s="1"/>
  <c r="X171" i="2"/>
  <c r="M172" i="2" s="1"/>
  <c r="N34" i="3" l="1"/>
  <c r="O34" i="3" s="1"/>
  <c r="N172" i="2"/>
  <c r="O172" i="2" s="1"/>
  <c r="P34" i="3" l="1"/>
  <c r="Q34" i="3"/>
  <c r="R34" i="3" s="1"/>
  <c r="T34" i="3"/>
  <c r="I35" i="3" s="1"/>
  <c r="U34" i="3"/>
  <c r="J35" i="3" s="1"/>
  <c r="V34" i="3"/>
  <c r="K35" i="3" s="1"/>
  <c r="W34" i="3"/>
  <c r="L35" i="3" s="1"/>
  <c r="X34" i="3"/>
  <c r="M35" i="3" s="1"/>
  <c r="P172" i="2"/>
  <c r="Q172" i="2"/>
  <c r="R172" i="2" s="1"/>
  <c r="T172" i="2"/>
  <c r="I173" i="2" s="1"/>
  <c r="U172" i="2"/>
  <c r="J173" i="2" s="1"/>
  <c r="V172" i="2"/>
  <c r="K173" i="2" s="1"/>
  <c r="W172" i="2"/>
  <c r="L173" i="2" s="1"/>
  <c r="X172" i="2"/>
  <c r="M173" i="2" s="1"/>
  <c r="N35" i="3" l="1"/>
  <c r="O35" i="3" s="1"/>
  <c r="N173" i="2"/>
  <c r="O173" i="2" s="1"/>
  <c r="P35" i="3" l="1"/>
  <c r="Q35" i="3"/>
  <c r="R35" i="3" s="1"/>
  <c r="T35" i="3"/>
  <c r="I36" i="3" s="1"/>
  <c r="U35" i="3"/>
  <c r="J36" i="3" s="1"/>
  <c r="V35" i="3"/>
  <c r="K36" i="3" s="1"/>
  <c r="W35" i="3"/>
  <c r="L36" i="3" s="1"/>
  <c r="X35" i="3"/>
  <c r="M36" i="3" s="1"/>
  <c r="P173" i="2"/>
  <c r="Q173" i="2"/>
  <c r="R173" i="2" s="1"/>
  <c r="T173" i="2"/>
  <c r="I174" i="2" s="1"/>
  <c r="U173" i="2"/>
  <c r="J174" i="2" s="1"/>
  <c r="V173" i="2"/>
  <c r="K174" i="2" s="1"/>
  <c r="W173" i="2"/>
  <c r="L174" i="2" s="1"/>
  <c r="X173" i="2"/>
  <c r="M174" i="2" s="1"/>
  <c r="N36" i="3" l="1"/>
  <c r="O36" i="3" s="1"/>
  <c r="N174" i="2"/>
  <c r="O174" i="2" s="1"/>
  <c r="P36" i="3" l="1"/>
  <c r="Q36" i="3"/>
  <c r="R36" i="3" s="1"/>
  <c r="T36" i="3"/>
  <c r="I37" i="3" s="1"/>
  <c r="U36" i="3"/>
  <c r="J37" i="3" s="1"/>
  <c r="V36" i="3"/>
  <c r="K37" i="3" s="1"/>
  <c r="W36" i="3"/>
  <c r="L37" i="3" s="1"/>
  <c r="X36" i="3"/>
  <c r="M37" i="3" s="1"/>
  <c r="P174" i="2"/>
  <c r="Q174" i="2"/>
  <c r="R174" i="2" s="1"/>
  <c r="T174" i="2"/>
  <c r="I175" i="2" s="1"/>
  <c r="U174" i="2"/>
  <c r="J175" i="2" s="1"/>
  <c r="V174" i="2"/>
  <c r="K175" i="2" s="1"/>
  <c r="W174" i="2"/>
  <c r="L175" i="2" s="1"/>
  <c r="X174" i="2"/>
  <c r="M175" i="2" s="1"/>
  <c r="N37" i="3" l="1"/>
  <c r="O37" i="3" s="1"/>
  <c r="N175" i="2"/>
  <c r="O175" i="2" s="1"/>
  <c r="P37" i="3" l="1"/>
  <c r="Q37" i="3"/>
  <c r="R37" i="3" s="1"/>
  <c r="T37" i="3"/>
  <c r="I38" i="3" s="1"/>
  <c r="U37" i="3"/>
  <c r="J38" i="3" s="1"/>
  <c r="V37" i="3"/>
  <c r="K38" i="3" s="1"/>
  <c r="W37" i="3"/>
  <c r="L38" i="3" s="1"/>
  <c r="X37" i="3"/>
  <c r="M38" i="3" s="1"/>
  <c r="P175" i="2"/>
  <c r="Q175" i="2"/>
  <c r="R175" i="2" s="1"/>
  <c r="T175" i="2"/>
  <c r="I176" i="2" s="1"/>
  <c r="U175" i="2"/>
  <c r="J176" i="2" s="1"/>
  <c r="V175" i="2"/>
  <c r="K176" i="2" s="1"/>
  <c r="W175" i="2"/>
  <c r="L176" i="2" s="1"/>
  <c r="X175" i="2"/>
  <c r="M176" i="2" s="1"/>
  <c r="N38" i="3" l="1"/>
  <c r="O38" i="3" s="1"/>
  <c r="N176" i="2"/>
  <c r="O176" i="2" s="1"/>
  <c r="P38" i="3" l="1"/>
  <c r="Q38" i="3"/>
  <c r="R38" i="3" s="1"/>
  <c r="T38" i="3"/>
  <c r="I39" i="3" s="1"/>
  <c r="U38" i="3"/>
  <c r="J39" i="3" s="1"/>
  <c r="V38" i="3"/>
  <c r="K39" i="3" s="1"/>
  <c r="W38" i="3"/>
  <c r="L39" i="3" s="1"/>
  <c r="X38" i="3"/>
  <c r="M39" i="3" s="1"/>
  <c r="P176" i="2"/>
  <c r="Q176" i="2"/>
  <c r="R176" i="2" s="1"/>
  <c r="T176" i="2"/>
  <c r="I177" i="2" s="1"/>
  <c r="U176" i="2"/>
  <c r="J177" i="2" s="1"/>
  <c r="V176" i="2"/>
  <c r="K177" i="2" s="1"/>
  <c r="W176" i="2"/>
  <c r="L177" i="2" s="1"/>
  <c r="X176" i="2"/>
  <c r="M177" i="2" s="1"/>
  <c r="N39" i="3" l="1"/>
  <c r="O39" i="3" s="1"/>
  <c r="N177" i="2"/>
  <c r="O177" i="2" s="1"/>
  <c r="P39" i="3" l="1"/>
  <c r="Q39" i="3"/>
  <c r="R39" i="3" s="1"/>
  <c r="T39" i="3"/>
  <c r="I40" i="3" s="1"/>
  <c r="U39" i="3"/>
  <c r="J40" i="3" s="1"/>
  <c r="V39" i="3"/>
  <c r="K40" i="3" s="1"/>
  <c r="W39" i="3"/>
  <c r="L40" i="3" s="1"/>
  <c r="X39" i="3"/>
  <c r="M40" i="3" s="1"/>
  <c r="P177" i="2"/>
  <c r="Q177" i="2"/>
  <c r="R177" i="2" s="1"/>
  <c r="T177" i="2"/>
  <c r="I178" i="2" s="1"/>
  <c r="U177" i="2"/>
  <c r="J178" i="2" s="1"/>
  <c r="V177" i="2"/>
  <c r="K178" i="2" s="1"/>
  <c r="W177" i="2"/>
  <c r="L178" i="2" s="1"/>
  <c r="X177" i="2"/>
  <c r="M178" i="2" s="1"/>
  <c r="N40" i="3" l="1"/>
  <c r="O40" i="3" s="1"/>
  <c r="N178" i="2"/>
  <c r="O178" i="2" s="1"/>
  <c r="P40" i="3" l="1"/>
  <c r="Q40" i="3"/>
  <c r="R40" i="3" s="1"/>
  <c r="T40" i="3"/>
  <c r="I41" i="3" s="1"/>
  <c r="U40" i="3"/>
  <c r="J41" i="3" s="1"/>
  <c r="V40" i="3"/>
  <c r="K41" i="3" s="1"/>
  <c r="W40" i="3"/>
  <c r="L41" i="3" s="1"/>
  <c r="X40" i="3"/>
  <c r="M41" i="3" s="1"/>
  <c r="P178" i="2"/>
  <c r="Q178" i="2"/>
  <c r="R178" i="2" s="1"/>
  <c r="T178" i="2"/>
  <c r="I179" i="2" s="1"/>
  <c r="U178" i="2"/>
  <c r="J179" i="2" s="1"/>
  <c r="V178" i="2"/>
  <c r="K179" i="2" s="1"/>
  <c r="W178" i="2"/>
  <c r="L179" i="2" s="1"/>
  <c r="X178" i="2"/>
  <c r="M179" i="2" s="1"/>
  <c r="N41" i="3" l="1"/>
  <c r="O41" i="3" s="1"/>
  <c r="N179" i="2"/>
  <c r="O179" i="2" s="1"/>
  <c r="P41" i="3" l="1"/>
  <c r="Q41" i="3"/>
  <c r="R41" i="3" s="1"/>
  <c r="T41" i="3"/>
  <c r="I42" i="3" s="1"/>
  <c r="U41" i="3"/>
  <c r="J42" i="3" s="1"/>
  <c r="V41" i="3"/>
  <c r="K42" i="3" s="1"/>
  <c r="W41" i="3"/>
  <c r="L42" i="3" s="1"/>
  <c r="X41" i="3"/>
  <c r="M42" i="3" s="1"/>
  <c r="P179" i="2"/>
  <c r="Q179" i="2"/>
  <c r="R179" i="2" s="1"/>
  <c r="T179" i="2"/>
  <c r="I180" i="2" s="1"/>
  <c r="U179" i="2"/>
  <c r="J180" i="2" s="1"/>
  <c r="V179" i="2"/>
  <c r="K180" i="2" s="1"/>
  <c r="W179" i="2"/>
  <c r="L180" i="2" s="1"/>
  <c r="X179" i="2"/>
  <c r="M180" i="2" s="1"/>
  <c r="N42" i="3" l="1"/>
  <c r="O42" i="3" s="1"/>
  <c r="N180" i="2"/>
  <c r="O180" i="2" s="1"/>
  <c r="P42" i="3" l="1"/>
  <c r="Q42" i="3"/>
  <c r="R42" i="3" s="1"/>
  <c r="T42" i="3"/>
  <c r="I43" i="3" s="1"/>
  <c r="U42" i="3"/>
  <c r="J43" i="3" s="1"/>
  <c r="V42" i="3"/>
  <c r="K43" i="3" s="1"/>
  <c r="W42" i="3"/>
  <c r="L43" i="3" s="1"/>
  <c r="X42" i="3"/>
  <c r="M43" i="3" s="1"/>
  <c r="P180" i="2"/>
  <c r="Q180" i="2"/>
  <c r="R180" i="2" s="1"/>
  <c r="T180" i="2"/>
  <c r="I181" i="2" s="1"/>
  <c r="U180" i="2"/>
  <c r="J181" i="2" s="1"/>
  <c r="V180" i="2"/>
  <c r="K181" i="2" s="1"/>
  <c r="W180" i="2"/>
  <c r="L181" i="2" s="1"/>
  <c r="X180" i="2"/>
  <c r="M181" i="2" s="1"/>
  <c r="N43" i="3" l="1"/>
  <c r="O43" i="3" s="1"/>
  <c r="N181" i="2"/>
  <c r="O181" i="2" s="1"/>
  <c r="P43" i="3" l="1"/>
  <c r="Q43" i="3"/>
  <c r="R43" i="3" s="1"/>
  <c r="T43" i="3"/>
  <c r="I44" i="3" s="1"/>
  <c r="U43" i="3"/>
  <c r="J44" i="3" s="1"/>
  <c r="V43" i="3"/>
  <c r="K44" i="3" s="1"/>
  <c r="W43" i="3"/>
  <c r="L44" i="3" s="1"/>
  <c r="X43" i="3"/>
  <c r="M44" i="3" s="1"/>
  <c r="P181" i="2"/>
  <c r="Q181" i="2"/>
  <c r="R181" i="2" s="1"/>
  <c r="T181" i="2"/>
  <c r="I182" i="2" s="1"/>
  <c r="U181" i="2"/>
  <c r="J182" i="2" s="1"/>
  <c r="V181" i="2"/>
  <c r="K182" i="2" s="1"/>
  <c r="W181" i="2"/>
  <c r="L182" i="2" s="1"/>
  <c r="X181" i="2"/>
  <c r="M182" i="2" s="1"/>
  <c r="N44" i="3" l="1"/>
  <c r="O44" i="3" s="1"/>
  <c r="N182" i="2"/>
  <c r="O182" i="2" s="1"/>
  <c r="P44" i="3" l="1"/>
  <c r="Q44" i="3"/>
  <c r="R44" i="3" s="1"/>
  <c r="T44" i="3"/>
  <c r="I45" i="3" s="1"/>
  <c r="U44" i="3"/>
  <c r="J45" i="3" s="1"/>
  <c r="V44" i="3"/>
  <c r="K45" i="3" s="1"/>
  <c r="W44" i="3"/>
  <c r="L45" i="3" s="1"/>
  <c r="X44" i="3"/>
  <c r="M45" i="3" s="1"/>
  <c r="P182" i="2"/>
  <c r="Q182" i="2"/>
  <c r="R182" i="2" s="1"/>
  <c r="T182" i="2"/>
  <c r="I183" i="2" s="1"/>
  <c r="U182" i="2"/>
  <c r="J183" i="2" s="1"/>
  <c r="V182" i="2"/>
  <c r="K183" i="2" s="1"/>
  <c r="W182" i="2"/>
  <c r="L183" i="2" s="1"/>
  <c r="X182" i="2"/>
  <c r="M183" i="2" s="1"/>
  <c r="N45" i="3" l="1"/>
  <c r="O45" i="3" s="1"/>
  <c r="N183" i="2"/>
  <c r="O183" i="2" s="1"/>
  <c r="Q45" i="3" l="1"/>
  <c r="R45" i="3" s="1"/>
  <c r="U45" i="3"/>
  <c r="J46" i="3" s="1"/>
  <c r="W45" i="3"/>
  <c r="L46" i="3" s="1"/>
  <c r="P45" i="3"/>
  <c r="T45" i="3"/>
  <c r="I46" i="3" s="1"/>
  <c r="V45" i="3"/>
  <c r="K46" i="3" s="1"/>
  <c r="X45" i="3"/>
  <c r="M46" i="3" s="1"/>
  <c r="P183" i="2"/>
  <c r="Q183" i="2"/>
  <c r="R183" i="2" s="1"/>
  <c r="T183" i="2"/>
  <c r="I184" i="2" s="1"/>
  <c r="U183" i="2"/>
  <c r="J184" i="2" s="1"/>
  <c r="V183" i="2"/>
  <c r="K184" i="2" s="1"/>
  <c r="W183" i="2"/>
  <c r="L184" i="2" s="1"/>
  <c r="X183" i="2"/>
  <c r="M184" i="2" s="1"/>
  <c r="N184" i="2" l="1"/>
  <c r="O184" i="2" s="1"/>
  <c r="N46" i="3"/>
  <c r="O46" i="3" s="1"/>
  <c r="P184" i="2" l="1"/>
  <c r="Q184" i="2"/>
  <c r="R184" i="2" s="1"/>
  <c r="T184" i="2"/>
  <c r="I185" i="2" s="1"/>
  <c r="U184" i="2"/>
  <c r="J185" i="2" s="1"/>
  <c r="V184" i="2"/>
  <c r="K185" i="2" s="1"/>
  <c r="W184" i="2"/>
  <c r="L185" i="2" s="1"/>
  <c r="X184" i="2"/>
  <c r="M185" i="2" s="1"/>
  <c r="Q46" i="3"/>
  <c r="R46" i="3" s="1"/>
  <c r="S46" i="3" s="1"/>
  <c r="T46" i="3"/>
  <c r="W46" i="3"/>
  <c r="U46" i="3"/>
  <c r="X46" i="3"/>
  <c r="P46" i="3"/>
  <c r="H46" i="3" s="1"/>
  <c r="V46" i="3"/>
  <c r="N185" i="2" l="1"/>
  <c r="O185" i="2" s="1"/>
  <c r="P185" i="2" l="1"/>
  <c r="Q185" i="2"/>
  <c r="R185" i="2" s="1"/>
  <c r="T185" i="2"/>
  <c r="I186" i="2" s="1"/>
  <c r="U185" i="2"/>
  <c r="J186" i="2" s="1"/>
  <c r="V185" i="2"/>
  <c r="K186" i="2" s="1"/>
  <c r="W185" i="2"/>
  <c r="L186" i="2" s="1"/>
  <c r="X185" i="2"/>
  <c r="M186" i="2" s="1"/>
  <c r="N186" i="2" l="1"/>
  <c r="O186" i="2" s="1"/>
  <c r="P186" i="2" l="1"/>
  <c r="Q186" i="2"/>
  <c r="R186" i="2" s="1"/>
  <c r="T186" i="2"/>
  <c r="I187" i="2" s="1"/>
  <c r="U186" i="2"/>
  <c r="J187" i="2" s="1"/>
  <c r="V186" i="2"/>
  <c r="K187" i="2" s="1"/>
  <c r="W186" i="2"/>
  <c r="L187" i="2" s="1"/>
  <c r="X186" i="2"/>
  <c r="M187" i="2" s="1"/>
  <c r="N187" i="2" l="1"/>
  <c r="O187" i="2" s="1"/>
  <c r="P187" i="2" l="1"/>
  <c r="Q187" i="2"/>
  <c r="R187" i="2" s="1"/>
  <c r="T187" i="2"/>
  <c r="I188" i="2" s="1"/>
  <c r="U187" i="2"/>
  <c r="J188" i="2" s="1"/>
  <c r="V187" i="2"/>
  <c r="K188" i="2" s="1"/>
  <c r="W187" i="2"/>
  <c r="L188" i="2" s="1"/>
  <c r="X187" i="2"/>
  <c r="M188" i="2" s="1"/>
  <c r="N188" i="2" l="1"/>
  <c r="O188" i="2" s="1"/>
  <c r="P188" i="2" l="1"/>
  <c r="Q188" i="2"/>
  <c r="R188" i="2" s="1"/>
  <c r="T188" i="2"/>
  <c r="I189" i="2" s="1"/>
  <c r="U188" i="2"/>
  <c r="J189" i="2" s="1"/>
  <c r="V188" i="2"/>
  <c r="K189" i="2" s="1"/>
  <c r="W188" i="2"/>
  <c r="L189" i="2" s="1"/>
  <c r="X188" i="2"/>
  <c r="M189" i="2" s="1"/>
  <c r="N189" i="2" l="1"/>
  <c r="O189" i="2" s="1"/>
  <c r="P189" i="2" l="1"/>
  <c r="Q189" i="2"/>
  <c r="R189" i="2" s="1"/>
  <c r="T189" i="2"/>
  <c r="I190" i="2" s="1"/>
  <c r="U189" i="2"/>
  <c r="J190" i="2" s="1"/>
  <c r="V189" i="2"/>
  <c r="K190" i="2" s="1"/>
  <c r="W189" i="2"/>
  <c r="L190" i="2" s="1"/>
  <c r="X189" i="2"/>
  <c r="M190" i="2" s="1"/>
  <c r="N190" i="2" l="1"/>
  <c r="O190" i="2" s="1"/>
  <c r="P190" i="2" l="1"/>
  <c r="Q190" i="2"/>
  <c r="R190" i="2" s="1"/>
  <c r="T190" i="2"/>
  <c r="I191" i="2" s="1"/>
  <c r="U190" i="2"/>
  <c r="J191" i="2" s="1"/>
  <c r="V190" i="2"/>
  <c r="K191" i="2" s="1"/>
  <c r="W190" i="2"/>
  <c r="L191" i="2" s="1"/>
  <c r="X190" i="2"/>
  <c r="M191" i="2" s="1"/>
  <c r="N191" i="2" l="1"/>
  <c r="O191" i="2" s="1"/>
  <c r="P191" i="2" l="1"/>
  <c r="Q191" i="2"/>
  <c r="R191" i="2" s="1"/>
  <c r="T191" i="2"/>
  <c r="I192" i="2" s="1"/>
  <c r="U191" i="2"/>
  <c r="J192" i="2" s="1"/>
  <c r="V191" i="2"/>
  <c r="K192" i="2" s="1"/>
  <c r="W191" i="2"/>
  <c r="L192" i="2" s="1"/>
  <c r="X191" i="2"/>
  <c r="M192" i="2" s="1"/>
  <c r="N192" i="2" l="1"/>
  <c r="O192" i="2" s="1"/>
  <c r="P192" i="2" l="1"/>
  <c r="Q192" i="2"/>
  <c r="R192" i="2" s="1"/>
  <c r="X192" i="2"/>
  <c r="M193" i="2" s="1"/>
  <c r="T192" i="2"/>
  <c r="I193" i="2" s="1"/>
  <c r="U192" i="2"/>
  <c r="J193" i="2" s="1"/>
  <c r="V192" i="2"/>
  <c r="K193" i="2" s="1"/>
  <c r="W192" i="2"/>
  <c r="L193" i="2" s="1"/>
  <c r="N193" i="2" l="1"/>
  <c r="O193" i="2" s="1"/>
  <c r="Q193" i="2" l="1"/>
  <c r="R193" i="2" s="1"/>
  <c r="U193" i="2"/>
  <c r="J194" i="2" s="1"/>
  <c r="W193" i="2"/>
  <c r="L194" i="2" s="1"/>
  <c r="X193" i="2"/>
  <c r="M194" i="2" s="1"/>
  <c r="P193" i="2"/>
  <c r="T193" i="2"/>
  <c r="I194" i="2" s="1"/>
  <c r="V193" i="2"/>
  <c r="K194" i="2" s="1"/>
  <c r="N194" i="2" l="1"/>
  <c r="O194" i="2" s="1"/>
  <c r="P194" i="2" l="1"/>
  <c r="U194" i="2"/>
  <c r="J195" i="2" s="1"/>
  <c r="W194" i="2"/>
  <c r="L195" i="2" s="1"/>
  <c r="Q194" i="2"/>
  <c r="R194" i="2" s="1"/>
  <c r="T194" i="2"/>
  <c r="I195" i="2" s="1"/>
  <c r="V194" i="2"/>
  <c r="K195" i="2" s="1"/>
  <c r="X194" i="2"/>
  <c r="M195" i="2" s="1"/>
  <c r="N195" i="2" l="1"/>
  <c r="O195" i="2" s="1"/>
  <c r="P195" i="2" l="1"/>
  <c r="Q195" i="2"/>
  <c r="R195" i="2" s="1"/>
  <c r="T195" i="2"/>
  <c r="I196" i="2" s="1"/>
  <c r="U195" i="2"/>
  <c r="J196" i="2" s="1"/>
  <c r="V195" i="2"/>
  <c r="K196" i="2" s="1"/>
  <c r="W195" i="2"/>
  <c r="L196" i="2" s="1"/>
  <c r="X195" i="2"/>
  <c r="M196" i="2" s="1"/>
  <c r="N196" i="2" l="1"/>
  <c r="O196" i="2" s="1"/>
  <c r="P196" i="2" l="1"/>
  <c r="Q196" i="2"/>
  <c r="R196" i="2" s="1"/>
  <c r="T196" i="2"/>
  <c r="I197" i="2" s="1"/>
  <c r="U196" i="2"/>
  <c r="J197" i="2" s="1"/>
  <c r="V196" i="2"/>
  <c r="K197" i="2" s="1"/>
  <c r="W196" i="2"/>
  <c r="L197" i="2" s="1"/>
  <c r="X196" i="2"/>
  <c r="M197" i="2" s="1"/>
  <c r="N197" i="2" l="1"/>
  <c r="O197" i="2" s="1"/>
  <c r="P197" i="2" l="1"/>
  <c r="Q197" i="2"/>
  <c r="R197" i="2" s="1"/>
  <c r="T197" i="2"/>
  <c r="I198" i="2" s="1"/>
  <c r="U197" i="2"/>
  <c r="J198" i="2" s="1"/>
  <c r="V197" i="2"/>
  <c r="K198" i="2" s="1"/>
  <c r="W197" i="2"/>
  <c r="L198" i="2" s="1"/>
  <c r="X197" i="2"/>
  <c r="M198" i="2" s="1"/>
  <c r="N198" i="2" l="1"/>
  <c r="O198" i="2" s="1"/>
  <c r="P198" i="2" l="1"/>
  <c r="Q198" i="2"/>
  <c r="R198" i="2" s="1"/>
  <c r="T198" i="2"/>
  <c r="I199" i="2" s="1"/>
  <c r="U198" i="2"/>
  <c r="J199" i="2" s="1"/>
  <c r="V198" i="2"/>
  <c r="K199" i="2" s="1"/>
  <c r="W198" i="2"/>
  <c r="L199" i="2" s="1"/>
  <c r="X198" i="2"/>
  <c r="M199" i="2" s="1"/>
  <c r="N199" i="2" l="1"/>
  <c r="O199" i="2" s="1"/>
  <c r="P199" i="2" l="1"/>
  <c r="Q199" i="2"/>
  <c r="R199" i="2" s="1"/>
  <c r="T199" i="2"/>
  <c r="I200" i="2" s="1"/>
  <c r="U199" i="2"/>
  <c r="J200" i="2" s="1"/>
  <c r="V199" i="2"/>
  <c r="K200" i="2" s="1"/>
  <c r="W199" i="2"/>
  <c r="L200" i="2" s="1"/>
  <c r="X199" i="2"/>
  <c r="M200" i="2" s="1"/>
  <c r="N200" i="2" l="1"/>
  <c r="O200" i="2" s="1"/>
  <c r="P200" i="2" l="1"/>
  <c r="Q200" i="2"/>
  <c r="R200" i="2" s="1"/>
  <c r="T200" i="2"/>
  <c r="I201" i="2" s="1"/>
  <c r="U200" i="2"/>
  <c r="J201" i="2" s="1"/>
  <c r="V200" i="2"/>
  <c r="K201" i="2" s="1"/>
  <c r="W200" i="2"/>
  <c r="L201" i="2" s="1"/>
  <c r="X200" i="2"/>
  <c r="M201" i="2" s="1"/>
  <c r="N201" i="2" l="1"/>
  <c r="O201" i="2" s="1"/>
  <c r="P201" i="2" l="1"/>
  <c r="Q201" i="2"/>
  <c r="R201" i="2" s="1"/>
  <c r="T201" i="2"/>
  <c r="I202" i="2" s="1"/>
  <c r="U201" i="2"/>
  <c r="J202" i="2" s="1"/>
  <c r="V201" i="2"/>
  <c r="K202" i="2" s="1"/>
  <c r="W201" i="2"/>
  <c r="L202" i="2" s="1"/>
  <c r="X201" i="2"/>
  <c r="M202" i="2" s="1"/>
  <c r="N202" i="2" l="1"/>
  <c r="O202" i="2" s="1"/>
  <c r="P202" i="2" l="1"/>
  <c r="Q202" i="2"/>
  <c r="R202" i="2" s="1"/>
  <c r="T202" i="2"/>
  <c r="I203" i="2" s="1"/>
  <c r="U202" i="2"/>
  <c r="J203" i="2" s="1"/>
  <c r="V202" i="2"/>
  <c r="K203" i="2" s="1"/>
  <c r="W202" i="2"/>
  <c r="L203" i="2" s="1"/>
  <c r="X202" i="2"/>
  <c r="M203" i="2" s="1"/>
  <c r="N203" i="2" l="1"/>
  <c r="O203" i="2" s="1"/>
  <c r="P203" i="2" l="1"/>
  <c r="Q203" i="2"/>
  <c r="R203" i="2" s="1"/>
  <c r="T203" i="2"/>
  <c r="I204" i="2" s="1"/>
  <c r="U203" i="2"/>
  <c r="J204" i="2" s="1"/>
  <c r="V203" i="2"/>
  <c r="K204" i="2" s="1"/>
  <c r="W203" i="2"/>
  <c r="L204" i="2" s="1"/>
  <c r="X203" i="2"/>
  <c r="M204" i="2" s="1"/>
  <c r="N204" i="2" l="1"/>
  <c r="O204" i="2" s="1"/>
  <c r="P204" i="2" l="1"/>
  <c r="Q204" i="2"/>
  <c r="R204" i="2" s="1"/>
  <c r="T204" i="2"/>
  <c r="I205" i="2" s="1"/>
  <c r="U204" i="2"/>
  <c r="J205" i="2" s="1"/>
  <c r="V204" i="2"/>
  <c r="K205" i="2" s="1"/>
  <c r="W204" i="2"/>
  <c r="L205" i="2" s="1"/>
  <c r="X204" i="2"/>
  <c r="M205" i="2" s="1"/>
  <c r="N205" i="2" l="1"/>
  <c r="O205" i="2" s="1"/>
  <c r="P205" i="2" l="1"/>
  <c r="Q205" i="2"/>
  <c r="R205" i="2" s="1"/>
  <c r="T205" i="2"/>
  <c r="I206" i="2" s="1"/>
  <c r="U205" i="2"/>
  <c r="J206" i="2" s="1"/>
  <c r="V205" i="2"/>
  <c r="K206" i="2" s="1"/>
  <c r="W205" i="2"/>
  <c r="L206" i="2" s="1"/>
  <c r="X205" i="2"/>
  <c r="M206" i="2" s="1"/>
  <c r="N206" i="2" l="1"/>
  <c r="O206" i="2" s="1"/>
  <c r="P206" i="2" l="1"/>
  <c r="Q206" i="2"/>
  <c r="R206" i="2" s="1"/>
  <c r="T206" i="2"/>
  <c r="I207" i="2" s="1"/>
  <c r="U206" i="2"/>
  <c r="J207" i="2" s="1"/>
  <c r="V206" i="2"/>
  <c r="K207" i="2" s="1"/>
  <c r="W206" i="2"/>
  <c r="L207" i="2" s="1"/>
  <c r="X206" i="2"/>
  <c r="M207" i="2" s="1"/>
  <c r="N207" i="2" l="1"/>
  <c r="O207" i="2" s="1"/>
  <c r="P207" i="2" l="1"/>
  <c r="Q207" i="2"/>
  <c r="R207" i="2" s="1"/>
  <c r="T207" i="2"/>
  <c r="I208" i="2" s="1"/>
  <c r="U207" i="2"/>
  <c r="J208" i="2" s="1"/>
  <c r="V207" i="2"/>
  <c r="K208" i="2" s="1"/>
  <c r="W207" i="2"/>
  <c r="L208" i="2" s="1"/>
  <c r="X207" i="2"/>
  <c r="M208" i="2" s="1"/>
  <c r="N208" i="2" l="1"/>
  <c r="O208" i="2" s="1"/>
  <c r="P208" i="2" l="1"/>
  <c r="Q208" i="2"/>
  <c r="R208" i="2" s="1"/>
  <c r="T208" i="2"/>
  <c r="I209" i="2" s="1"/>
  <c r="U208" i="2"/>
  <c r="J209" i="2" s="1"/>
  <c r="V208" i="2"/>
  <c r="K209" i="2" s="1"/>
  <c r="W208" i="2"/>
  <c r="L209" i="2" s="1"/>
  <c r="X208" i="2"/>
  <c r="M209" i="2" s="1"/>
  <c r="N209" i="2" l="1"/>
  <c r="O209" i="2" s="1"/>
  <c r="P209" i="2" l="1"/>
  <c r="Q209" i="2"/>
  <c r="R209" i="2" s="1"/>
  <c r="T209" i="2"/>
  <c r="I210" i="2" s="1"/>
  <c r="U209" i="2"/>
  <c r="J210" i="2" s="1"/>
  <c r="V209" i="2"/>
  <c r="K210" i="2" s="1"/>
  <c r="W209" i="2"/>
  <c r="L210" i="2" s="1"/>
  <c r="X209" i="2"/>
  <c r="M210" i="2" s="1"/>
  <c r="N210" i="2" l="1"/>
  <c r="O210" i="2" s="1"/>
  <c r="P210" i="2" l="1"/>
  <c r="Q210" i="2"/>
  <c r="R210" i="2" s="1"/>
  <c r="T210" i="2"/>
  <c r="I211" i="2" s="1"/>
  <c r="U210" i="2"/>
  <c r="J211" i="2" s="1"/>
  <c r="V210" i="2"/>
  <c r="K211" i="2" s="1"/>
  <c r="W210" i="2"/>
  <c r="L211" i="2" s="1"/>
  <c r="X210" i="2"/>
  <c r="M211" i="2" s="1"/>
  <c r="N211" i="2" l="1"/>
  <c r="O211" i="2" s="1"/>
  <c r="P211" i="2" l="1"/>
  <c r="Q211" i="2"/>
  <c r="R211" i="2" s="1"/>
  <c r="T211" i="2"/>
  <c r="I212" i="2" s="1"/>
  <c r="U211" i="2"/>
  <c r="J212" i="2" s="1"/>
  <c r="V211" i="2"/>
  <c r="K212" i="2" s="1"/>
  <c r="W211" i="2"/>
  <c r="L212" i="2" s="1"/>
  <c r="X211" i="2"/>
  <c r="M212" i="2" s="1"/>
  <c r="N212" i="2" l="1"/>
  <c r="O212" i="2" s="1"/>
  <c r="P212" i="2" l="1"/>
  <c r="Q212" i="2"/>
  <c r="R212" i="2" s="1"/>
  <c r="T212" i="2"/>
  <c r="I213" i="2" s="1"/>
  <c r="U212" i="2"/>
  <c r="J213" i="2" s="1"/>
  <c r="V212" i="2"/>
  <c r="K213" i="2" s="1"/>
  <c r="W212" i="2"/>
  <c r="L213" i="2" s="1"/>
  <c r="X212" i="2"/>
  <c r="M213" i="2" s="1"/>
  <c r="N213" i="2" l="1"/>
  <c r="O213" i="2" s="1"/>
  <c r="P213" i="2" l="1"/>
  <c r="Q213" i="2"/>
  <c r="R213" i="2" s="1"/>
  <c r="T213" i="2"/>
  <c r="I214" i="2" s="1"/>
  <c r="U213" i="2"/>
  <c r="J214" i="2" s="1"/>
  <c r="V213" i="2"/>
  <c r="K214" i="2" s="1"/>
  <c r="W213" i="2"/>
  <c r="L214" i="2" s="1"/>
  <c r="X213" i="2"/>
  <c r="M214" i="2" s="1"/>
  <c r="N214" i="2" l="1"/>
  <c r="O214" i="2" s="1"/>
  <c r="P214" i="2" l="1"/>
  <c r="Q214" i="2"/>
  <c r="R214" i="2" s="1"/>
  <c r="T214" i="2"/>
  <c r="I215" i="2" s="1"/>
  <c r="U214" i="2"/>
  <c r="J215" i="2" s="1"/>
  <c r="V214" i="2"/>
  <c r="K215" i="2" s="1"/>
  <c r="W214" i="2"/>
  <c r="L215" i="2" s="1"/>
  <c r="X214" i="2"/>
  <c r="M215" i="2" s="1"/>
  <c r="N215" i="2" l="1"/>
  <c r="O215" i="2" s="1"/>
  <c r="P215" i="2" l="1"/>
  <c r="Q215" i="2"/>
  <c r="R215" i="2" s="1"/>
  <c r="T215" i="2"/>
  <c r="I216" i="2" s="1"/>
  <c r="U215" i="2"/>
  <c r="J216" i="2" s="1"/>
  <c r="V215" i="2"/>
  <c r="K216" i="2" s="1"/>
  <c r="W215" i="2"/>
  <c r="L216" i="2" s="1"/>
  <c r="X215" i="2"/>
  <c r="M216" i="2" s="1"/>
  <c r="N216" i="2" l="1"/>
  <c r="O216" i="2" s="1"/>
  <c r="P216" i="2" l="1"/>
  <c r="Q216" i="2"/>
  <c r="R216" i="2" s="1"/>
  <c r="T216" i="2"/>
  <c r="I217" i="2" s="1"/>
  <c r="U216" i="2"/>
  <c r="J217" i="2" s="1"/>
  <c r="V216" i="2"/>
  <c r="K217" i="2" s="1"/>
  <c r="W216" i="2"/>
  <c r="L217" i="2" s="1"/>
  <c r="X216" i="2"/>
  <c r="M217" i="2" s="1"/>
  <c r="N217" i="2" l="1"/>
  <c r="O217" i="2" s="1"/>
  <c r="P217" i="2" l="1"/>
  <c r="Q217" i="2"/>
  <c r="R217" i="2" s="1"/>
  <c r="T217" i="2"/>
  <c r="I218" i="2" s="1"/>
  <c r="U217" i="2"/>
  <c r="J218" i="2" s="1"/>
  <c r="V217" i="2"/>
  <c r="K218" i="2" s="1"/>
  <c r="W217" i="2"/>
  <c r="L218" i="2" s="1"/>
  <c r="X217" i="2"/>
  <c r="M218" i="2" s="1"/>
  <c r="N218" i="2" l="1"/>
  <c r="O218" i="2" s="1"/>
  <c r="P218" i="2" l="1"/>
  <c r="Q218" i="2"/>
  <c r="R218" i="2" s="1"/>
  <c r="T218" i="2"/>
  <c r="I219" i="2" s="1"/>
  <c r="U218" i="2"/>
  <c r="J219" i="2" s="1"/>
  <c r="V218" i="2"/>
  <c r="K219" i="2" s="1"/>
  <c r="W218" i="2"/>
  <c r="L219" i="2" s="1"/>
  <c r="X218" i="2"/>
  <c r="M219" i="2" s="1"/>
  <c r="N219" i="2" l="1"/>
  <c r="O219" i="2" s="1"/>
  <c r="P219" i="2" l="1"/>
  <c r="Q219" i="2"/>
  <c r="R219" i="2" s="1"/>
  <c r="T219" i="2"/>
  <c r="I220" i="2" s="1"/>
  <c r="U219" i="2"/>
  <c r="J220" i="2" s="1"/>
  <c r="V219" i="2"/>
  <c r="K220" i="2" s="1"/>
  <c r="W219" i="2"/>
  <c r="L220" i="2" s="1"/>
  <c r="X219" i="2"/>
  <c r="M220" i="2" s="1"/>
  <c r="N220" i="2" l="1"/>
  <c r="O220" i="2" s="1"/>
  <c r="P220" i="2" l="1"/>
  <c r="Q220" i="2"/>
  <c r="R220" i="2" s="1"/>
  <c r="T220" i="2"/>
  <c r="I221" i="2" s="1"/>
  <c r="U220" i="2"/>
  <c r="J221" i="2" s="1"/>
  <c r="V220" i="2"/>
  <c r="K221" i="2" s="1"/>
  <c r="W220" i="2"/>
  <c r="L221" i="2" s="1"/>
  <c r="X220" i="2"/>
  <c r="M221" i="2" s="1"/>
  <c r="N221" i="2" l="1"/>
  <c r="O221" i="2" s="1"/>
  <c r="P221" i="2" l="1"/>
  <c r="Q221" i="2"/>
  <c r="R221" i="2" s="1"/>
  <c r="T221" i="2"/>
  <c r="I222" i="2" s="1"/>
  <c r="U221" i="2"/>
  <c r="J222" i="2" s="1"/>
  <c r="V221" i="2"/>
  <c r="K222" i="2" s="1"/>
  <c r="W221" i="2"/>
  <c r="L222" i="2" s="1"/>
  <c r="X221" i="2"/>
  <c r="M222" i="2" s="1"/>
  <c r="N222" i="2" l="1"/>
  <c r="O222" i="2" s="1"/>
  <c r="P222" i="2" l="1"/>
  <c r="Q222" i="2"/>
  <c r="R222" i="2" s="1"/>
  <c r="T222" i="2"/>
  <c r="I223" i="2" s="1"/>
  <c r="U222" i="2"/>
  <c r="J223" i="2" s="1"/>
  <c r="V222" i="2"/>
  <c r="K223" i="2" s="1"/>
  <c r="W222" i="2"/>
  <c r="L223" i="2" s="1"/>
  <c r="X222" i="2"/>
  <c r="M223" i="2" s="1"/>
  <c r="N223" i="2" l="1"/>
  <c r="O223" i="2" s="1"/>
  <c r="P223" i="2" l="1"/>
  <c r="Q223" i="2"/>
  <c r="R223" i="2" s="1"/>
  <c r="T223" i="2"/>
  <c r="I224" i="2" s="1"/>
  <c r="U223" i="2"/>
  <c r="J224" i="2" s="1"/>
  <c r="V223" i="2"/>
  <c r="K224" i="2" s="1"/>
  <c r="W223" i="2"/>
  <c r="L224" i="2" s="1"/>
  <c r="X223" i="2"/>
  <c r="M224" i="2" s="1"/>
  <c r="N224" i="2" l="1"/>
  <c r="O224" i="2" s="1"/>
  <c r="P224" i="2" l="1"/>
  <c r="Q224" i="2"/>
  <c r="R224" i="2" s="1"/>
  <c r="T224" i="2"/>
  <c r="I225" i="2" s="1"/>
  <c r="U224" i="2"/>
  <c r="J225" i="2" s="1"/>
  <c r="V224" i="2"/>
  <c r="K225" i="2" s="1"/>
  <c r="W224" i="2"/>
  <c r="L225" i="2" s="1"/>
  <c r="X224" i="2"/>
  <c r="M225" i="2" s="1"/>
  <c r="N225" i="2" l="1"/>
  <c r="O225" i="2" s="1"/>
  <c r="P225" i="2" l="1"/>
  <c r="Q225" i="2"/>
  <c r="R225" i="2" s="1"/>
  <c r="T225" i="2"/>
  <c r="I226" i="2" s="1"/>
  <c r="U225" i="2"/>
  <c r="J226" i="2" s="1"/>
  <c r="V225" i="2"/>
  <c r="K226" i="2" s="1"/>
  <c r="W225" i="2"/>
  <c r="L226" i="2" s="1"/>
  <c r="X225" i="2"/>
  <c r="M226" i="2" s="1"/>
  <c r="N226" i="2" l="1"/>
  <c r="O226" i="2" s="1"/>
  <c r="P226" i="2" l="1"/>
  <c r="Q226" i="2"/>
  <c r="R226" i="2" s="1"/>
  <c r="T226" i="2"/>
  <c r="I227" i="2" s="1"/>
  <c r="U226" i="2"/>
  <c r="J227" i="2" s="1"/>
  <c r="V226" i="2"/>
  <c r="K227" i="2" s="1"/>
  <c r="W226" i="2"/>
  <c r="L227" i="2" s="1"/>
  <c r="X226" i="2"/>
  <c r="M227" i="2" s="1"/>
  <c r="N227" i="2" l="1"/>
  <c r="O227" i="2" s="1"/>
  <c r="P227" i="2" l="1"/>
  <c r="Q227" i="2"/>
  <c r="R227" i="2" s="1"/>
  <c r="T227" i="2"/>
  <c r="I228" i="2" s="1"/>
  <c r="U227" i="2"/>
  <c r="J228" i="2" s="1"/>
  <c r="V227" i="2"/>
  <c r="K228" i="2" s="1"/>
  <c r="W227" i="2"/>
  <c r="L228" i="2" s="1"/>
  <c r="X227" i="2"/>
  <c r="M228" i="2" s="1"/>
  <c r="N228" i="2" l="1"/>
  <c r="O228" i="2" s="1"/>
  <c r="P228" i="2" l="1"/>
  <c r="Q228" i="2"/>
  <c r="R228" i="2" s="1"/>
  <c r="T228" i="2"/>
  <c r="I229" i="2" s="1"/>
  <c r="U228" i="2"/>
  <c r="J229" i="2" s="1"/>
  <c r="V228" i="2"/>
  <c r="K229" i="2" s="1"/>
  <c r="W228" i="2"/>
  <c r="L229" i="2" s="1"/>
  <c r="X228" i="2"/>
  <c r="M229" i="2" s="1"/>
  <c r="N229" i="2" l="1"/>
  <c r="O229" i="2" s="1"/>
  <c r="P229" i="2" l="1"/>
  <c r="Q229" i="2"/>
  <c r="R229" i="2" s="1"/>
  <c r="T229" i="2"/>
  <c r="I230" i="2" s="1"/>
  <c r="U229" i="2"/>
  <c r="J230" i="2" s="1"/>
  <c r="V229" i="2"/>
  <c r="K230" i="2" s="1"/>
  <c r="W229" i="2"/>
  <c r="L230" i="2" s="1"/>
  <c r="X229" i="2"/>
  <c r="M230" i="2" s="1"/>
  <c r="N230" i="2" l="1"/>
  <c r="O230" i="2" s="1"/>
  <c r="P230" i="2" l="1"/>
  <c r="Q230" i="2"/>
  <c r="R230" i="2" s="1"/>
  <c r="T230" i="2"/>
  <c r="I231" i="2" s="1"/>
  <c r="U230" i="2"/>
  <c r="J231" i="2" s="1"/>
  <c r="V230" i="2"/>
  <c r="K231" i="2" s="1"/>
  <c r="W230" i="2"/>
  <c r="L231" i="2" s="1"/>
  <c r="X230" i="2"/>
  <c r="M231" i="2" s="1"/>
  <c r="N231" i="2" l="1"/>
  <c r="O231" i="2" s="1"/>
  <c r="P231" i="2" l="1"/>
  <c r="Q231" i="2"/>
  <c r="R231" i="2" s="1"/>
  <c r="T231" i="2"/>
  <c r="I232" i="2" s="1"/>
  <c r="U231" i="2"/>
  <c r="J232" i="2" s="1"/>
  <c r="V231" i="2"/>
  <c r="K232" i="2" s="1"/>
  <c r="W231" i="2"/>
  <c r="L232" i="2" s="1"/>
  <c r="X231" i="2"/>
  <c r="M232" i="2" s="1"/>
  <c r="N232" i="2" l="1"/>
  <c r="O232" i="2" s="1"/>
  <c r="P232" i="2" l="1"/>
  <c r="Q232" i="2"/>
  <c r="R232" i="2" s="1"/>
  <c r="T232" i="2"/>
  <c r="I233" i="2" s="1"/>
  <c r="U232" i="2"/>
  <c r="J233" i="2" s="1"/>
  <c r="V232" i="2"/>
  <c r="K233" i="2" s="1"/>
  <c r="W232" i="2"/>
  <c r="L233" i="2" s="1"/>
  <c r="X232" i="2"/>
  <c r="M233" i="2" s="1"/>
  <c r="N233" i="2" l="1"/>
  <c r="O233" i="2" s="1"/>
  <c r="P233" i="2" l="1"/>
  <c r="Q233" i="2"/>
  <c r="R233" i="2" s="1"/>
  <c r="T233" i="2"/>
  <c r="I234" i="2" s="1"/>
  <c r="U233" i="2"/>
  <c r="J234" i="2" s="1"/>
  <c r="V233" i="2"/>
  <c r="K234" i="2" s="1"/>
  <c r="W233" i="2"/>
  <c r="L234" i="2" s="1"/>
  <c r="X233" i="2"/>
  <c r="M234" i="2" s="1"/>
  <c r="N234" i="2" l="1"/>
  <c r="O234" i="2" s="1"/>
  <c r="P234" i="2" l="1"/>
  <c r="Q234" i="2"/>
  <c r="R234" i="2" s="1"/>
  <c r="T234" i="2"/>
  <c r="I235" i="2" s="1"/>
  <c r="U234" i="2"/>
  <c r="J235" i="2" s="1"/>
  <c r="V234" i="2"/>
  <c r="K235" i="2" s="1"/>
  <c r="W234" i="2"/>
  <c r="L235" i="2" s="1"/>
  <c r="X234" i="2"/>
  <c r="M235" i="2" s="1"/>
  <c r="N235" i="2" l="1"/>
  <c r="O235" i="2" s="1"/>
  <c r="P235" i="2" l="1"/>
  <c r="Q235" i="2"/>
  <c r="R235" i="2" s="1"/>
  <c r="T235" i="2"/>
  <c r="I236" i="2" s="1"/>
  <c r="U235" i="2"/>
  <c r="J236" i="2" s="1"/>
  <c r="V235" i="2"/>
  <c r="K236" i="2" s="1"/>
  <c r="W235" i="2"/>
  <c r="L236" i="2" s="1"/>
  <c r="X235" i="2"/>
  <c r="M236" i="2" s="1"/>
  <c r="N236" i="2" l="1"/>
  <c r="O236" i="2" s="1"/>
  <c r="P236" i="2" l="1"/>
  <c r="Q236" i="2"/>
  <c r="R236" i="2" s="1"/>
  <c r="T236" i="2"/>
  <c r="I237" i="2" s="1"/>
  <c r="U236" i="2"/>
  <c r="J237" i="2" s="1"/>
  <c r="V236" i="2"/>
  <c r="K237" i="2" s="1"/>
  <c r="W236" i="2"/>
  <c r="L237" i="2" s="1"/>
  <c r="X236" i="2"/>
  <c r="M237" i="2" s="1"/>
  <c r="N237" i="2" l="1"/>
  <c r="O237" i="2" s="1"/>
  <c r="P237" i="2" l="1"/>
  <c r="Q237" i="2"/>
  <c r="R237" i="2" s="1"/>
  <c r="T237" i="2"/>
  <c r="I238" i="2" s="1"/>
  <c r="U237" i="2"/>
  <c r="J238" i="2" s="1"/>
  <c r="V237" i="2"/>
  <c r="K238" i="2" s="1"/>
  <c r="W237" i="2"/>
  <c r="L238" i="2" s="1"/>
  <c r="X237" i="2"/>
  <c r="M238" i="2" s="1"/>
  <c r="N238" i="2" l="1"/>
  <c r="O238" i="2" s="1"/>
  <c r="P238" i="2" l="1"/>
  <c r="Q238" i="2"/>
  <c r="R238" i="2" s="1"/>
  <c r="T238" i="2"/>
  <c r="I239" i="2" s="1"/>
  <c r="U238" i="2"/>
  <c r="J239" i="2" s="1"/>
  <c r="V238" i="2"/>
  <c r="K239" i="2" s="1"/>
  <c r="W238" i="2"/>
  <c r="L239" i="2" s="1"/>
  <c r="X238" i="2"/>
  <c r="M239" i="2" s="1"/>
  <c r="N239" i="2" l="1"/>
  <c r="O239" i="2" s="1"/>
  <c r="P239" i="2" l="1"/>
  <c r="Q239" i="2"/>
  <c r="R239" i="2" s="1"/>
  <c r="T239" i="2"/>
  <c r="I240" i="2" s="1"/>
  <c r="U239" i="2"/>
  <c r="J240" i="2" s="1"/>
  <c r="V239" i="2"/>
  <c r="K240" i="2" s="1"/>
  <c r="W239" i="2"/>
  <c r="L240" i="2" s="1"/>
  <c r="X239" i="2"/>
  <c r="M240" i="2" s="1"/>
  <c r="N240" i="2" l="1"/>
  <c r="O240" i="2" s="1"/>
  <c r="P240" i="2" l="1"/>
  <c r="Q240" i="2"/>
  <c r="R240" i="2" s="1"/>
  <c r="T240" i="2"/>
  <c r="I241" i="2" s="1"/>
  <c r="U240" i="2"/>
  <c r="J241" i="2" s="1"/>
  <c r="V240" i="2"/>
  <c r="K241" i="2" s="1"/>
  <c r="W240" i="2"/>
  <c r="L241" i="2" s="1"/>
  <c r="X240" i="2"/>
  <c r="M241" i="2" s="1"/>
  <c r="N241" i="2" l="1"/>
  <c r="O241" i="2" s="1"/>
  <c r="P241" i="2" l="1"/>
  <c r="Q241" i="2"/>
  <c r="R241" i="2" s="1"/>
  <c r="T241" i="2"/>
  <c r="I242" i="2" s="1"/>
  <c r="U241" i="2"/>
  <c r="J242" i="2" s="1"/>
  <c r="V241" i="2"/>
  <c r="K242" i="2" s="1"/>
  <c r="W241" i="2"/>
  <c r="L242" i="2" s="1"/>
  <c r="X241" i="2"/>
  <c r="M242" i="2" s="1"/>
  <c r="N242" i="2" l="1"/>
  <c r="O242" i="2" s="1"/>
  <c r="P242" i="2" l="1"/>
  <c r="Q242" i="2"/>
  <c r="R242" i="2" s="1"/>
  <c r="T242" i="2"/>
  <c r="I243" i="2" s="1"/>
  <c r="U242" i="2"/>
  <c r="J243" i="2" s="1"/>
  <c r="V242" i="2"/>
  <c r="K243" i="2" s="1"/>
  <c r="W242" i="2"/>
  <c r="L243" i="2" s="1"/>
  <c r="X242" i="2"/>
  <c r="M243" i="2" s="1"/>
  <c r="N243" i="2" l="1"/>
  <c r="O243" i="2" s="1"/>
  <c r="P243" i="2" l="1"/>
  <c r="Q243" i="2"/>
  <c r="R243" i="2" s="1"/>
  <c r="T243" i="2"/>
  <c r="I244" i="2" s="1"/>
  <c r="U243" i="2"/>
  <c r="J244" i="2" s="1"/>
  <c r="V243" i="2"/>
  <c r="K244" i="2" s="1"/>
  <c r="W243" i="2"/>
  <c r="L244" i="2" s="1"/>
  <c r="X243" i="2"/>
  <c r="M244" i="2" s="1"/>
  <c r="N244" i="2" l="1"/>
  <c r="O244" i="2" s="1"/>
  <c r="Q244" i="2" l="1"/>
  <c r="R244" i="2" s="1"/>
  <c r="S244" i="2" s="1"/>
  <c r="AA6" i="2" s="1"/>
  <c r="T244" i="2"/>
  <c r="U244" i="2"/>
  <c r="V244" i="2"/>
  <c r="W244" i="2"/>
  <c r="X244" i="2"/>
  <c r="P244" i="2"/>
  <c r="H244" i="2" s="1"/>
  <c r="AB6" i="2" s="1"/>
  <c r="I47" i="3" l="1"/>
  <c r="I245" i="2"/>
  <c r="J245" i="2"/>
  <c r="J47" i="3"/>
  <c r="K245" i="2"/>
  <c r="K47" i="3"/>
  <c r="L245" i="2"/>
  <c r="L47" i="3"/>
  <c r="M245" i="2"/>
  <c r="M47" i="3"/>
  <c r="N47" i="3" l="1"/>
  <c r="O47" i="3" s="1"/>
  <c r="N245" i="2"/>
  <c r="O245" i="2" s="1"/>
  <c r="U47" i="3" l="1"/>
  <c r="J48" i="3" s="1"/>
  <c r="X47" i="3"/>
  <c r="M48" i="3" s="1"/>
  <c r="Q47" i="3"/>
  <c r="R47" i="3" s="1"/>
  <c r="T47" i="3"/>
  <c r="I48" i="3" s="1"/>
  <c r="W47" i="3"/>
  <c r="L48" i="3" s="1"/>
  <c r="P47" i="3"/>
  <c r="V47" i="3"/>
  <c r="K48" i="3" s="1"/>
  <c r="P245" i="2"/>
  <c r="Q245" i="2"/>
  <c r="R245" i="2" s="1"/>
  <c r="T245" i="2"/>
  <c r="I246" i="2" s="1"/>
  <c r="U245" i="2"/>
  <c r="J246" i="2" s="1"/>
  <c r="V245" i="2"/>
  <c r="K246" i="2" s="1"/>
  <c r="W245" i="2"/>
  <c r="L246" i="2" s="1"/>
  <c r="X245" i="2"/>
  <c r="M246" i="2" s="1"/>
  <c r="N48" i="3" l="1"/>
  <c r="O48" i="3" s="1"/>
  <c r="N246" i="2"/>
  <c r="O246" i="2" s="1"/>
  <c r="Q48" i="3" l="1"/>
  <c r="R48" i="3" s="1"/>
  <c r="T48" i="3"/>
  <c r="I49" i="3" s="1"/>
  <c r="V48" i="3"/>
  <c r="K49" i="3" s="1"/>
  <c r="U48" i="3"/>
  <c r="J49" i="3" s="1"/>
  <c r="X48" i="3"/>
  <c r="M49" i="3" s="1"/>
  <c r="P48" i="3"/>
  <c r="W48" i="3"/>
  <c r="L49" i="3" s="1"/>
  <c r="P246" i="2"/>
  <c r="Q246" i="2"/>
  <c r="R246" i="2" s="1"/>
  <c r="T246" i="2"/>
  <c r="I247" i="2" s="1"/>
  <c r="U246" i="2"/>
  <c r="J247" i="2" s="1"/>
  <c r="V246" i="2"/>
  <c r="K247" i="2" s="1"/>
  <c r="W246" i="2"/>
  <c r="L247" i="2" s="1"/>
  <c r="X246" i="2"/>
  <c r="M247" i="2" s="1"/>
  <c r="N49" i="3" l="1"/>
  <c r="O49" i="3" s="1"/>
  <c r="N247" i="2"/>
  <c r="O247" i="2" s="1"/>
  <c r="U49" i="3" l="1"/>
  <c r="J50" i="3" s="1"/>
  <c r="P49" i="3"/>
  <c r="T49" i="3"/>
  <c r="I50" i="3" s="1"/>
  <c r="W49" i="3"/>
  <c r="L50" i="3" s="1"/>
  <c r="Q49" i="3"/>
  <c r="R49" i="3" s="1"/>
  <c r="V49" i="3"/>
  <c r="K50" i="3" s="1"/>
  <c r="X49" i="3"/>
  <c r="M50" i="3" s="1"/>
  <c r="P247" i="2"/>
  <c r="Q247" i="2"/>
  <c r="R247" i="2" s="1"/>
  <c r="T247" i="2"/>
  <c r="I248" i="2" s="1"/>
  <c r="U247" i="2"/>
  <c r="J248" i="2" s="1"/>
  <c r="V247" i="2"/>
  <c r="K248" i="2" s="1"/>
  <c r="W247" i="2"/>
  <c r="L248" i="2" s="1"/>
  <c r="X247" i="2"/>
  <c r="M248" i="2" s="1"/>
  <c r="N248" i="2" l="1"/>
  <c r="O248" i="2" s="1"/>
  <c r="N50" i="3"/>
  <c r="O50" i="3" s="1"/>
  <c r="P248" i="2" l="1"/>
  <c r="Q248" i="2"/>
  <c r="R248" i="2" s="1"/>
  <c r="T248" i="2"/>
  <c r="I249" i="2" s="1"/>
  <c r="U248" i="2"/>
  <c r="J249" i="2" s="1"/>
  <c r="V248" i="2"/>
  <c r="K249" i="2" s="1"/>
  <c r="W248" i="2"/>
  <c r="L249" i="2" s="1"/>
  <c r="X248" i="2"/>
  <c r="M249" i="2" s="1"/>
  <c r="X50" i="3"/>
  <c r="M51" i="3" s="1"/>
  <c r="T50" i="3"/>
  <c r="I51" i="3" s="1"/>
  <c r="P50" i="3"/>
  <c r="V50" i="3"/>
  <c r="K51" i="3" s="1"/>
  <c r="Q50" i="3"/>
  <c r="R50" i="3" s="1"/>
  <c r="W50" i="3"/>
  <c r="L51" i="3" s="1"/>
  <c r="U50" i="3"/>
  <c r="J51" i="3" s="1"/>
  <c r="N249" i="2" l="1"/>
  <c r="O249" i="2" s="1"/>
  <c r="N51" i="3"/>
  <c r="O51" i="3" s="1"/>
  <c r="P249" i="2" l="1"/>
  <c r="Q249" i="2"/>
  <c r="R249" i="2" s="1"/>
  <c r="T249" i="2"/>
  <c r="I250" i="2" s="1"/>
  <c r="U249" i="2"/>
  <c r="J250" i="2" s="1"/>
  <c r="V249" i="2"/>
  <c r="K250" i="2" s="1"/>
  <c r="W249" i="2"/>
  <c r="L250" i="2" s="1"/>
  <c r="X249" i="2"/>
  <c r="M250" i="2" s="1"/>
  <c r="Q51" i="3"/>
  <c r="R51" i="3" s="1"/>
  <c r="T51" i="3"/>
  <c r="I52" i="3" s="1"/>
  <c r="V51" i="3"/>
  <c r="K52" i="3" s="1"/>
  <c r="W51" i="3"/>
  <c r="L52" i="3" s="1"/>
  <c r="P51" i="3"/>
  <c r="U51" i="3"/>
  <c r="J52" i="3" s="1"/>
  <c r="X51" i="3"/>
  <c r="M52" i="3" s="1"/>
  <c r="N250" i="2" l="1"/>
  <c r="O250" i="2" s="1"/>
  <c r="N52" i="3"/>
  <c r="O52" i="3" s="1"/>
  <c r="P250" i="2" l="1"/>
  <c r="Q250" i="2"/>
  <c r="R250" i="2" s="1"/>
  <c r="T250" i="2"/>
  <c r="I251" i="2" s="1"/>
  <c r="U250" i="2"/>
  <c r="J251" i="2" s="1"/>
  <c r="V250" i="2"/>
  <c r="K251" i="2" s="1"/>
  <c r="W250" i="2"/>
  <c r="L251" i="2" s="1"/>
  <c r="X250" i="2"/>
  <c r="M251" i="2" s="1"/>
  <c r="U52" i="3"/>
  <c r="J53" i="3" s="1"/>
  <c r="X52" i="3"/>
  <c r="M53" i="3" s="1"/>
  <c r="Q52" i="3"/>
  <c r="R52" i="3" s="1"/>
  <c r="V52" i="3"/>
  <c r="K53" i="3" s="1"/>
  <c r="P52" i="3"/>
  <c r="T52" i="3"/>
  <c r="I53" i="3" s="1"/>
  <c r="W52" i="3"/>
  <c r="L53" i="3" s="1"/>
  <c r="N251" i="2" l="1"/>
  <c r="O251" i="2" s="1"/>
  <c r="N53" i="3"/>
  <c r="O53" i="3" s="1"/>
  <c r="P251" i="2" l="1"/>
  <c r="Q251" i="2"/>
  <c r="R251" i="2" s="1"/>
  <c r="T251" i="2"/>
  <c r="I252" i="2" s="1"/>
  <c r="U251" i="2"/>
  <c r="J252" i="2" s="1"/>
  <c r="V251" i="2"/>
  <c r="K252" i="2" s="1"/>
  <c r="W251" i="2"/>
  <c r="L252" i="2" s="1"/>
  <c r="X251" i="2"/>
  <c r="M252" i="2" s="1"/>
  <c r="Q53" i="3"/>
  <c r="R53" i="3" s="1"/>
  <c r="T53" i="3"/>
  <c r="I54" i="3" s="1"/>
  <c r="W53" i="3"/>
  <c r="L54" i="3" s="1"/>
  <c r="P53" i="3"/>
  <c r="V53" i="3"/>
  <c r="K54" i="3" s="1"/>
  <c r="X53" i="3"/>
  <c r="M54" i="3" s="1"/>
  <c r="U53" i="3"/>
  <c r="J54" i="3" s="1"/>
  <c r="N54" i="3" l="1"/>
  <c r="O54" i="3" s="1"/>
  <c r="N252" i="2"/>
  <c r="O252" i="2" s="1"/>
  <c r="V54" i="3" l="1"/>
  <c r="K55" i="3" s="1"/>
  <c r="U54" i="3"/>
  <c r="J55" i="3" s="1"/>
  <c r="W54" i="3"/>
  <c r="L55" i="3" s="1"/>
  <c r="P54" i="3"/>
  <c r="Q54" i="3"/>
  <c r="R54" i="3" s="1"/>
  <c r="T54" i="3"/>
  <c r="I55" i="3" s="1"/>
  <c r="X54" i="3"/>
  <c r="M55" i="3" s="1"/>
  <c r="P252" i="2"/>
  <c r="Q252" i="2"/>
  <c r="R252" i="2" s="1"/>
  <c r="T252" i="2"/>
  <c r="I253" i="2" s="1"/>
  <c r="U252" i="2"/>
  <c r="J253" i="2" s="1"/>
  <c r="V252" i="2"/>
  <c r="K253" i="2" s="1"/>
  <c r="W252" i="2"/>
  <c r="L253" i="2" s="1"/>
  <c r="X252" i="2"/>
  <c r="M253" i="2" s="1"/>
  <c r="N55" i="3" l="1"/>
  <c r="O55" i="3" s="1"/>
  <c r="N253" i="2"/>
  <c r="O253" i="2" s="1"/>
  <c r="U55" i="3" l="1"/>
  <c r="J56" i="3" s="1"/>
  <c r="W55" i="3"/>
  <c r="L56" i="3" s="1"/>
  <c r="P55" i="3"/>
  <c r="X55" i="3"/>
  <c r="M56" i="3" s="1"/>
  <c r="Q55" i="3"/>
  <c r="R55" i="3" s="1"/>
  <c r="T55" i="3"/>
  <c r="I56" i="3" s="1"/>
  <c r="V55" i="3"/>
  <c r="K56" i="3" s="1"/>
  <c r="P253" i="2"/>
  <c r="Q253" i="2"/>
  <c r="R253" i="2" s="1"/>
  <c r="T253" i="2"/>
  <c r="I254" i="2" s="1"/>
  <c r="U253" i="2"/>
  <c r="J254" i="2" s="1"/>
  <c r="V253" i="2"/>
  <c r="K254" i="2" s="1"/>
  <c r="W253" i="2"/>
  <c r="L254" i="2" s="1"/>
  <c r="X253" i="2"/>
  <c r="M254" i="2" s="1"/>
  <c r="N56" i="3" l="1"/>
  <c r="O56" i="3" s="1"/>
  <c r="N254" i="2"/>
  <c r="O254" i="2" s="1"/>
  <c r="U56" i="3" l="1"/>
  <c r="J57" i="3" s="1"/>
  <c r="X56" i="3"/>
  <c r="M57" i="3" s="1"/>
  <c r="P56" i="3"/>
  <c r="T56" i="3"/>
  <c r="I57" i="3" s="1"/>
  <c r="V56" i="3"/>
  <c r="K57" i="3" s="1"/>
  <c r="Q56" i="3"/>
  <c r="R56" i="3" s="1"/>
  <c r="W56" i="3"/>
  <c r="L57" i="3" s="1"/>
  <c r="P254" i="2"/>
  <c r="Q254" i="2"/>
  <c r="R254" i="2" s="1"/>
  <c r="T254" i="2"/>
  <c r="I255" i="2" s="1"/>
  <c r="U254" i="2"/>
  <c r="J255" i="2" s="1"/>
  <c r="V254" i="2"/>
  <c r="K255" i="2" s="1"/>
  <c r="W254" i="2"/>
  <c r="L255" i="2" s="1"/>
  <c r="X254" i="2"/>
  <c r="M255" i="2" s="1"/>
  <c r="N57" i="3" l="1"/>
  <c r="O57" i="3" s="1"/>
  <c r="N255" i="2"/>
  <c r="O255" i="2" s="1"/>
  <c r="Q57" i="3" l="1"/>
  <c r="R57" i="3" s="1"/>
  <c r="U57" i="3"/>
  <c r="J58" i="3" s="1"/>
  <c r="P57" i="3"/>
  <c r="T57" i="3"/>
  <c r="I58" i="3" s="1"/>
  <c r="X57" i="3"/>
  <c r="M58" i="3" s="1"/>
  <c r="W57" i="3"/>
  <c r="L58" i="3" s="1"/>
  <c r="V57" i="3"/>
  <c r="K58" i="3" s="1"/>
  <c r="Q255" i="2"/>
  <c r="R255" i="2" s="1"/>
  <c r="V255" i="2"/>
  <c r="K256" i="2" s="1"/>
  <c r="X255" i="2"/>
  <c r="M256" i="2" s="1"/>
  <c r="P255" i="2"/>
  <c r="T255" i="2"/>
  <c r="I256" i="2" s="1"/>
  <c r="U255" i="2"/>
  <c r="J256" i="2" s="1"/>
  <c r="W255" i="2"/>
  <c r="L256" i="2" s="1"/>
  <c r="N58" i="3" l="1"/>
  <c r="O58" i="3" s="1"/>
  <c r="N256" i="2"/>
  <c r="O256" i="2" s="1"/>
  <c r="P58" i="3" l="1"/>
  <c r="T58" i="3"/>
  <c r="I59" i="3" s="1"/>
  <c r="W58" i="3"/>
  <c r="L59" i="3" s="1"/>
  <c r="Q58" i="3"/>
  <c r="R58" i="3" s="1"/>
  <c r="U58" i="3"/>
  <c r="J59" i="3" s="1"/>
  <c r="V58" i="3"/>
  <c r="K59" i="3" s="1"/>
  <c r="X58" i="3"/>
  <c r="M59" i="3" s="1"/>
  <c r="Q256" i="2"/>
  <c r="R256" i="2" s="1"/>
  <c r="T256" i="2"/>
  <c r="I257" i="2" s="1"/>
  <c r="V256" i="2"/>
  <c r="K257" i="2" s="1"/>
  <c r="X256" i="2"/>
  <c r="M257" i="2" s="1"/>
  <c r="P256" i="2"/>
  <c r="U256" i="2"/>
  <c r="J257" i="2" s="1"/>
  <c r="W256" i="2"/>
  <c r="L257" i="2" s="1"/>
  <c r="N59" i="3" l="1"/>
  <c r="O59" i="3" s="1"/>
  <c r="N257" i="2"/>
  <c r="O257" i="2" s="1"/>
  <c r="P59" i="3" l="1"/>
  <c r="T59" i="3"/>
  <c r="I60" i="3" s="1"/>
  <c r="V59" i="3"/>
  <c r="K60" i="3" s="1"/>
  <c r="W59" i="3"/>
  <c r="L60" i="3" s="1"/>
  <c r="Q59" i="3"/>
  <c r="R59" i="3" s="1"/>
  <c r="U59" i="3"/>
  <c r="J60" i="3" s="1"/>
  <c r="X59" i="3"/>
  <c r="M60" i="3" s="1"/>
  <c r="Q257" i="2"/>
  <c r="R257" i="2" s="1"/>
  <c r="T257" i="2"/>
  <c r="I258" i="2" s="1"/>
  <c r="V257" i="2"/>
  <c r="K258" i="2" s="1"/>
  <c r="P257" i="2"/>
  <c r="U257" i="2"/>
  <c r="J258" i="2" s="1"/>
  <c r="W257" i="2"/>
  <c r="L258" i="2" s="1"/>
  <c r="X257" i="2"/>
  <c r="M258" i="2" s="1"/>
  <c r="N60" i="3" l="1"/>
  <c r="O60" i="3" s="1"/>
  <c r="N258" i="2"/>
  <c r="O258" i="2" s="1"/>
  <c r="Q60" i="3" l="1"/>
  <c r="R60" i="3" s="1"/>
  <c r="T60" i="3"/>
  <c r="I61" i="3" s="1"/>
  <c r="V60" i="3"/>
  <c r="K61" i="3" s="1"/>
  <c r="W60" i="3"/>
  <c r="L61" i="3" s="1"/>
  <c r="P60" i="3"/>
  <c r="U60" i="3"/>
  <c r="J61" i="3" s="1"/>
  <c r="X60" i="3"/>
  <c r="M61" i="3" s="1"/>
  <c r="N61" i="3" s="1"/>
  <c r="O61" i="3" s="1"/>
  <c r="Q258" i="2"/>
  <c r="R258" i="2" s="1"/>
  <c r="T258" i="2"/>
  <c r="I259" i="2" s="1"/>
  <c r="V258" i="2"/>
  <c r="K259" i="2" s="1"/>
  <c r="X258" i="2"/>
  <c r="M259" i="2" s="1"/>
  <c r="P258" i="2"/>
  <c r="U258" i="2"/>
  <c r="J259" i="2" s="1"/>
  <c r="W258" i="2"/>
  <c r="L259" i="2" s="1"/>
  <c r="N259" i="2" l="1"/>
  <c r="O259" i="2" s="1"/>
  <c r="P259" i="2" s="1"/>
  <c r="T61" i="3"/>
  <c r="I62" i="3" s="1"/>
  <c r="W61" i="3"/>
  <c r="L62" i="3" s="1"/>
  <c r="Q61" i="3"/>
  <c r="R61" i="3" s="1"/>
  <c r="U61" i="3"/>
  <c r="J62" i="3" s="1"/>
  <c r="V61" i="3"/>
  <c r="K62" i="3" s="1"/>
  <c r="X61" i="3"/>
  <c r="M62" i="3" s="1"/>
  <c r="P61" i="3"/>
  <c r="X259" i="2" l="1"/>
  <c r="M260" i="2" s="1"/>
  <c r="U259" i="2"/>
  <c r="J260" i="2" s="1"/>
  <c r="W259" i="2"/>
  <c r="L260" i="2" s="1"/>
  <c r="V259" i="2"/>
  <c r="K260" i="2" s="1"/>
  <c r="T259" i="2"/>
  <c r="I260" i="2" s="1"/>
  <c r="Q259" i="2"/>
  <c r="R259" i="2" s="1"/>
  <c r="N62" i="3"/>
  <c r="O62" i="3" s="1"/>
  <c r="N260" i="2" l="1"/>
  <c r="O260" i="2" s="1"/>
  <c r="Q62" i="3"/>
  <c r="R62" i="3" s="1"/>
  <c r="T62" i="3"/>
  <c r="I63" i="3" s="1"/>
  <c r="V62" i="3"/>
  <c r="K63" i="3" s="1"/>
  <c r="W62" i="3"/>
  <c r="L63" i="3" s="1"/>
  <c r="U62" i="3"/>
  <c r="J63" i="3" s="1"/>
  <c r="P62" i="3"/>
  <c r="X62" i="3"/>
  <c r="M63" i="3" s="1"/>
  <c r="Q260" i="2" l="1"/>
  <c r="R260" i="2" s="1"/>
  <c r="W260" i="2"/>
  <c r="L261" i="2" s="1"/>
  <c r="P260" i="2"/>
  <c r="U260" i="2"/>
  <c r="J261" i="2" s="1"/>
  <c r="T260" i="2"/>
  <c r="I261" i="2" s="1"/>
  <c r="V260" i="2"/>
  <c r="K261" i="2" s="1"/>
  <c r="X260" i="2"/>
  <c r="M261" i="2" s="1"/>
  <c r="N63" i="3"/>
  <c r="O63" i="3" s="1"/>
  <c r="N261" i="2" l="1"/>
  <c r="O261" i="2" s="1"/>
  <c r="T261" i="2" s="1"/>
  <c r="I262" i="2" s="1"/>
  <c r="X63" i="3"/>
  <c r="M64" i="3" s="1"/>
  <c r="W63" i="3"/>
  <c r="L64" i="3" s="1"/>
  <c r="U63" i="3"/>
  <c r="J64" i="3" s="1"/>
  <c r="P63" i="3"/>
  <c r="V63" i="3"/>
  <c r="K64" i="3" s="1"/>
  <c r="T63" i="3"/>
  <c r="I64" i="3" s="1"/>
  <c r="Q63" i="3"/>
  <c r="R63" i="3" s="1"/>
  <c r="V261" i="2"/>
  <c r="K262" i="2" s="1"/>
  <c r="U261" i="2"/>
  <c r="J262" i="2" s="1"/>
  <c r="X261" i="2" l="1"/>
  <c r="M262" i="2" s="1"/>
  <c r="W261" i="2"/>
  <c r="L262" i="2" s="1"/>
  <c r="N262" i="2" s="1"/>
  <c r="O262" i="2" s="1"/>
  <c r="Q261" i="2"/>
  <c r="R261" i="2" s="1"/>
  <c r="P261" i="2"/>
  <c r="N64" i="3"/>
  <c r="O64" i="3" s="1"/>
  <c r="V64" i="3" l="1"/>
  <c r="K65" i="3" s="1"/>
  <c r="W64" i="3"/>
  <c r="L65" i="3" s="1"/>
  <c r="Q64" i="3"/>
  <c r="R64" i="3" s="1"/>
  <c r="P64" i="3"/>
  <c r="U64" i="3"/>
  <c r="J65" i="3" s="1"/>
  <c r="X64" i="3"/>
  <c r="M65" i="3" s="1"/>
  <c r="T64" i="3"/>
  <c r="I65" i="3" s="1"/>
  <c r="P262" i="2"/>
  <c r="Q262" i="2"/>
  <c r="R262" i="2" s="1"/>
  <c r="T262" i="2"/>
  <c r="I263" i="2" s="1"/>
  <c r="U262" i="2"/>
  <c r="J263" i="2" s="1"/>
  <c r="V262" i="2"/>
  <c r="K263" i="2" s="1"/>
  <c r="W262" i="2"/>
  <c r="L263" i="2" s="1"/>
  <c r="X262" i="2"/>
  <c r="M263" i="2" s="1"/>
  <c r="N65" i="3" l="1"/>
  <c r="O65" i="3" s="1"/>
  <c r="N263" i="2"/>
  <c r="O263" i="2" s="1"/>
  <c r="U65" i="3" l="1"/>
  <c r="J66" i="3" s="1"/>
  <c r="T65" i="3"/>
  <c r="I66" i="3" s="1"/>
  <c r="Q65" i="3"/>
  <c r="R65" i="3" s="1"/>
  <c r="W65" i="3"/>
  <c r="L66" i="3" s="1"/>
  <c r="V65" i="3"/>
  <c r="K66" i="3" s="1"/>
  <c r="P65" i="3"/>
  <c r="X65" i="3"/>
  <c r="M66" i="3" s="1"/>
  <c r="P263" i="2"/>
  <c r="Q263" i="2"/>
  <c r="R263" i="2" s="1"/>
  <c r="T263" i="2"/>
  <c r="I264" i="2" s="1"/>
  <c r="U263" i="2"/>
  <c r="J264" i="2" s="1"/>
  <c r="W263" i="2"/>
  <c r="L264" i="2" s="1"/>
  <c r="V263" i="2"/>
  <c r="K264" i="2" s="1"/>
  <c r="X263" i="2"/>
  <c r="M264" i="2" s="1"/>
  <c r="N66" i="3" l="1"/>
  <c r="O66" i="3" s="1"/>
  <c r="N264" i="2"/>
  <c r="O264" i="2" s="1"/>
  <c r="U66" i="3" l="1"/>
  <c r="V66" i="3"/>
  <c r="T66" i="3"/>
  <c r="W66" i="3"/>
  <c r="P66" i="3"/>
  <c r="H66" i="3" s="1"/>
  <c r="X66" i="3"/>
  <c r="Q66" i="3"/>
  <c r="R66" i="3" s="1"/>
  <c r="S66" i="3" s="1"/>
  <c r="P264" i="2"/>
  <c r="Q264" i="2"/>
  <c r="R264" i="2" s="1"/>
  <c r="T264" i="2"/>
  <c r="I265" i="2" s="1"/>
  <c r="U264" i="2"/>
  <c r="J265" i="2" s="1"/>
  <c r="V264" i="2"/>
  <c r="K265" i="2" s="1"/>
  <c r="W264" i="2"/>
  <c r="L265" i="2" s="1"/>
  <c r="X264" i="2"/>
  <c r="M265" i="2" s="1"/>
  <c r="N265" i="2" l="1"/>
  <c r="O265" i="2" s="1"/>
  <c r="V265" i="2" l="1"/>
  <c r="K266" i="2" s="1"/>
  <c r="W265" i="2"/>
  <c r="L266" i="2" s="1"/>
  <c r="Q265" i="2"/>
  <c r="R265" i="2" s="1"/>
  <c r="T265" i="2"/>
  <c r="I266" i="2" s="1"/>
  <c r="U265" i="2"/>
  <c r="J266" i="2" s="1"/>
  <c r="P265" i="2"/>
  <c r="X265" i="2"/>
  <c r="M266" i="2" s="1"/>
  <c r="N266" i="2" l="1"/>
  <c r="O266" i="2" s="1"/>
  <c r="Q266" i="2" s="1"/>
  <c r="R266" i="2" s="1"/>
  <c r="T266" i="2" l="1"/>
  <c r="I267" i="2" s="1"/>
  <c r="U266" i="2"/>
  <c r="J267" i="2" s="1"/>
  <c r="P266" i="2"/>
  <c r="V266" i="2"/>
  <c r="K267" i="2" s="1"/>
  <c r="W266" i="2"/>
  <c r="L267" i="2" s="1"/>
  <c r="X266" i="2"/>
  <c r="M267" i="2" s="1"/>
  <c r="N267" i="2" l="1"/>
  <c r="O267" i="2" s="1"/>
  <c r="W267" i="2" l="1"/>
  <c r="L268" i="2" s="1"/>
  <c r="P267" i="2"/>
  <c r="Q267" i="2"/>
  <c r="R267" i="2" s="1"/>
  <c r="T267" i="2"/>
  <c r="I268" i="2" s="1"/>
  <c r="N268" i="2" s="1"/>
  <c r="O268" i="2" s="1"/>
  <c r="U267" i="2"/>
  <c r="J268" i="2" s="1"/>
  <c r="V267" i="2"/>
  <c r="K268" i="2" s="1"/>
  <c r="X267" i="2"/>
  <c r="M268" i="2" s="1"/>
  <c r="P268" i="2" l="1"/>
  <c r="Q268" i="2"/>
  <c r="R268" i="2" s="1"/>
  <c r="T268" i="2"/>
  <c r="I269" i="2" s="1"/>
  <c r="U268" i="2"/>
  <c r="J269" i="2" s="1"/>
  <c r="V268" i="2"/>
  <c r="K269" i="2" s="1"/>
  <c r="W268" i="2"/>
  <c r="L269" i="2" s="1"/>
  <c r="X268" i="2"/>
  <c r="M269" i="2" s="1"/>
  <c r="N269" i="2" l="1"/>
  <c r="O269" i="2" s="1"/>
  <c r="P269" i="2" l="1"/>
  <c r="Q269" i="2"/>
  <c r="R269" i="2" s="1"/>
  <c r="T269" i="2"/>
  <c r="I270" i="2" s="1"/>
  <c r="U269" i="2"/>
  <c r="J270" i="2" s="1"/>
  <c r="V269" i="2"/>
  <c r="K270" i="2" s="1"/>
  <c r="W269" i="2"/>
  <c r="L270" i="2" s="1"/>
  <c r="X269" i="2"/>
  <c r="M270" i="2" s="1"/>
  <c r="N270" i="2" l="1"/>
  <c r="O270" i="2" s="1"/>
  <c r="P270" i="2" l="1"/>
  <c r="Q270" i="2"/>
  <c r="R270" i="2" s="1"/>
  <c r="T270" i="2"/>
  <c r="I271" i="2" s="1"/>
  <c r="U270" i="2"/>
  <c r="J271" i="2" s="1"/>
  <c r="V270" i="2"/>
  <c r="K271" i="2" s="1"/>
  <c r="W270" i="2"/>
  <c r="L271" i="2" s="1"/>
  <c r="X270" i="2"/>
  <c r="M271" i="2" s="1"/>
  <c r="N271" i="2" l="1"/>
  <c r="O271" i="2" s="1"/>
  <c r="P271" i="2" l="1"/>
  <c r="Q271" i="2"/>
  <c r="R271" i="2" s="1"/>
  <c r="T271" i="2"/>
  <c r="I272" i="2" s="1"/>
  <c r="U271" i="2"/>
  <c r="J272" i="2" s="1"/>
  <c r="V271" i="2"/>
  <c r="K272" i="2" s="1"/>
  <c r="W271" i="2"/>
  <c r="L272" i="2" s="1"/>
  <c r="X271" i="2"/>
  <c r="M272" i="2" s="1"/>
  <c r="N272" i="2" l="1"/>
  <c r="O272" i="2" s="1"/>
  <c r="P272" i="2" l="1"/>
  <c r="Q272" i="2"/>
  <c r="R272" i="2" s="1"/>
  <c r="T272" i="2"/>
  <c r="I273" i="2" s="1"/>
  <c r="U272" i="2"/>
  <c r="J273" i="2" s="1"/>
  <c r="V272" i="2"/>
  <c r="K273" i="2" s="1"/>
  <c r="W272" i="2"/>
  <c r="L273" i="2" s="1"/>
  <c r="X272" i="2"/>
  <c r="M273" i="2" s="1"/>
  <c r="N273" i="2" l="1"/>
  <c r="O273" i="2" s="1"/>
  <c r="P273" i="2" l="1"/>
  <c r="Q273" i="2"/>
  <c r="R273" i="2" s="1"/>
  <c r="T273" i="2"/>
  <c r="I274" i="2" s="1"/>
  <c r="U273" i="2"/>
  <c r="J274" i="2" s="1"/>
  <c r="V273" i="2"/>
  <c r="K274" i="2" s="1"/>
  <c r="W273" i="2"/>
  <c r="L274" i="2" s="1"/>
  <c r="X273" i="2"/>
  <c r="M274" i="2" s="1"/>
  <c r="N274" i="2" l="1"/>
  <c r="O274" i="2" s="1"/>
  <c r="P274" i="2" l="1"/>
  <c r="Q274" i="2"/>
  <c r="R274" i="2" s="1"/>
  <c r="T274" i="2"/>
  <c r="I275" i="2" s="1"/>
  <c r="U274" i="2"/>
  <c r="J275" i="2" s="1"/>
  <c r="V274" i="2"/>
  <c r="K275" i="2" s="1"/>
  <c r="W274" i="2"/>
  <c r="L275" i="2" s="1"/>
  <c r="X274" i="2"/>
  <c r="M275" i="2" s="1"/>
  <c r="N275" i="2" l="1"/>
  <c r="O275" i="2" s="1"/>
  <c r="P275" i="2" l="1"/>
  <c r="Q275" i="2"/>
  <c r="R275" i="2" s="1"/>
  <c r="T275" i="2"/>
  <c r="I276" i="2" s="1"/>
  <c r="U275" i="2"/>
  <c r="J276" i="2" s="1"/>
  <c r="V275" i="2"/>
  <c r="K276" i="2" s="1"/>
  <c r="W275" i="2"/>
  <c r="L276" i="2" s="1"/>
  <c r="X275" i="2"/>
  <c r="M276" i="2" s="1"/>
  <c r="N276" i="2" l="1"/>
  <c r="O276" i="2" s="1"/>
  <c r="P276" i="2" l="1"/>
  <c r="Q276" i="2"/>
  <c r="R276" i="2" s="1"/>
  <c r="T276" i="2"/>
  <c r="I277" i="2" s="1"/>
  <c r="U276" i="2"/>
  <c r="J277" i="2" s="1"/>
  <c r="V276" i="2"/>
  <c r="K277" i="2" s="1"/>
  <c r="W276" i="2"/>
  <c r="L277" i="2" s="1"/>
  <c r="X276" i="2"/>
  <c r="M277" i="2" s="1"/>
  <c r="N277" i="2" l="1"/>
  <c r="O277" i="2" s="1"/>
  <c r="P277" i="2" l="1"/>
  <c r="Q277" i="2"/>
  <c r="R277" i="2" s="1"/>
  <c r="T277" i="2"/>
  <c r="I278" i="2" s="1"/>
  <c r="U277" i="2"/>
  <c r="J278" i="2" s="1"/>
  <c r="V277" i="2"/>
  <c r="K278" i="2" s="1"/>
  <c r="W277" i="2"/>
  <c r="L278" i="2" s="1"/>
  <c r="X277" i="2"/>
  <c r="M278" i="2" s="1"/>
  <c r="N278" i="2" l="1"/>
  <c r="O278" i="2" s="1"/>
  <c r="P278" i="2" l="1"/>
  <c r="Q278" i="2"/>
  <c r="R278" i="2" s="1"/>
  <c r="T278" i="2"/>
  <c r="I279" i="2" s="1"/>
  <c r="U278" i="2"/>
  <c r="J279" i="2" s="1"/>
  <c r="V278" i="2"/>
  <c r="K279" i="2" s="1"/>
  <c r="W278" i="2"/>
  <c r="L279" i="2" s="1"/>
  <c r="X278" i="2"/>
  <c r="M279" i="2" s="1"/>
  <c r="N279" i="2" l="1"/>
  <c r="O279" i="2" s="1"/>
  <c r="P279" i="2" l="1"/>
  <c r="Q279" i="2"/>
  <c r="R279" i="2" s="1"/>
  <c r="T279" i="2"/>
  <c r="I280" i="2" s="1"/>
  <c r="U279" i="2"/>
  <c r="J280" i="2" s="1"/>
  <c r="V279" i="2"/>
  <c r="K280" i="2" s="1"/>
  <c r="W279" i="2"/>
  <c r="L280" i="2" s="1"/>
  <c r="X279" i="2"/>
  <c r="M280" i="2" s="1"/>
  <c r="N280" i="2" l="1"/>
  <c r="O280" i="2" s="1"/>
  <c r="P280" i="2" l="1"/>
  <c r="Q280" i="2"/>
  <c r="R280" i="2" s="1"/>
  <c r="T280" i="2"/>
  <c r="I281" i="2" s="1"/>
  <c r="U280" i="2"/>
  <c r="J281" i="2" s="1"/>
  <c r="V280" i="2"/>
  <c r="K281" i="2" s="1"/>
  <c r="W280" i="2"/>
  <c r="L281" i="2" s="1"/>
  <c r="X280" i="2"/>
  <c r="M281" i="2" s="1"/>
  <c r="N281" i="2" l="1"/>
  <c r="O281" i="2" s="1"/>
  <c r="P281" i="2" l="1"/>
  <c r="Q281" i="2"/>
  <c r="R281" i="2" s="1"/>
  <c r="T281" i="2"/>
  <c r="I282" i="2" s="1"/>
  <c r="U281" i="2"/>
  <c r="J282" i="2" s="1"/>
  <c r="V281" i="2"/>
  <c r="K282" i="2" s="1"/>
  <c r="W281" i="2"/>
  <c r="L282" i="2" s="1"/>
  <c r="X281" i="2"/>
  <c r="M282" i="2" s="1"/>
  <c r="N282" i="2" l="1"/>
  <c r="O282" i="2" s="1"/>
  <c r="P282" i="2" l="1"/>
  <c r="Q282" i="2"/>
  <c r="R282" i="2" s="1"/>
  <c r="T282" i="2"/>
  <c r="I283" i="2" s="1"/>
  <c r="U282" i="2"/>
  <c r="J283" i="2" s="1"/>
  <c r="V282" i="2"/>
  <c r="K283" i="2" s="1"/>
  <c r="W282" i="2"/>
  <c r="L283" i="2" s="1"/>
  <c r="X282" i="2"/>
  <c r="M283" i="2" s="1"/>
  <c r="N283" i="2" l="1"/>
  <c r="O283" i="2" s="1"/>
  <c r="P283" i="2" l="1"/>
  <c r="Q283" i="2"/>
  <c r="R283" i="2" s="1"/>
  <c r="T283" i="2"/>
  <c r="I284" i="2" s="1"/>
  <c r="U283" i="2"/>
  <c r="J284" i="2" s="1"/>
  <c r="V283" i="2"/>
  <c r="K284" i="2" s="1"/>
  <c r="W283" i="2"/>
  <c r="L284" i="2" s="1"/>
  <c r="X283" i="2"/>
  <c r="M284" i="2" s="1"/>
  <c r="N284" i="2" l="1"/>
  <c r="O284" i="2" s="1"/>
  <c r="P284" i="2" l="1"/>
  <c r="Q284" i="2"/>
  <c r="R284" i="2" s="1"/>
  <c r="T284" i="2"/>
  <c r="I285" i="2" s="1"/>
  <c r="U284" i="2"/>
  <c r="J285" i="2" s="1"/>
  <c r="V284" i="2"/>
  <c r="K285" i="2" s="1"/>
  <c r="W284" i="2"/>
  <c r="L285" i="2" s="1"/>
  <c r="X284" i="2"/>
  <c r="M285" i="2" s="1"/>
  <c r="N285" i="2" l="1"/>
  <c r="O285" i="2" s="1"/>
  <c r="P285" i="2" l="1"/>
  <c r="Q285" i="2"/>
  <c r="R285" i="2" s="1"/>
  <c r="T285" i="2"/>
  <c r="I286" i="2" s="1"/>
  <c r="U285" i="2"/>
  <c r="J286" i="2" s="1"/>
  <c r="V285" i="2"/>
  <c r="K286" i="2" s="1"/>
  <c r="W285" i="2"/>
  <c r="L286" i="2" s="1"/>
  <c r="X285" i="2"/>
  <c r="M286" i="2" s="1"/>
  <c r="N286" i="2" l="1"/>
  <c r="O286" i="2" s="1"/>
  <c r="Q286" i="2" l="1"/>
  <c r="R286" i="2" s="1"/>
  <c r="T286" i="2"/>
  <c r="I287" i="2" s="1"/>
  <c r="U286" i="2"/>
  <c r="J287" i="2" s="1"/>
  <c r="V286" i="2"/>
  <c r="K287" i="2" s="1"/>
  <c r="W286" i="2"/>
  <c r="L287" i="2" s="1"/>
  <c r="X286" i="2"/>
  <c r="M287" i="2" s="1"/>
  <c r="P286" i="2"/>
  <c r="N287" i="2" l="1"/>
  <c r="O287" i="2" s="1"/>
  <c r="P287" i="2" l="1"/>
  <c r="Q287" i="2"/>
  <c r="R287" i="2" s="1"/>
  <c r="T287" i="2"/>
  <c r="I288" i="2" s="1"/>
  <c r="U287" i="2"/>
  <c r="J288" i="2" s="1"/>
  <c r="V287" i="2"/>
  <c r="K288" i="2" s="1"/>
  <c r="W287" i="2"/>
  <c r="L288" i="2" s="1"/>
  <c r="X287" i="2"/>
  <c r="M288" i="2" s="1"/>
  <c r="N288" i="2" l="1"/>
  <c r="O288" i="2" s="1"/>
  <c r="P288" i="2" l="1"/>
  <c r="Q288" i="2"/>
  <c r="R288" i="2" s="1"/>
  <c r="T288" i="2"/>
  <c r="I289" i="2" s="1"/>
  <c r="U288" i="2"/>
  <c r="J289" i="2" s="1"/>
  <c r="V288" i="2"/>
  <c r="K289" i="2" s="1"/>
  <c r="W288" i="2"/>
  <c r="L289" i="2" s="1"/>
  <c r="X288" i="2"/>
  <c r="M289" i="2" s="1"/>
  <c r="N289" i="2" l="1"/>
  <c r="O289" i="2" s="1"/>
  <c r="P289" i="2" l="1"/>
  <c r="Q289" i="2"/>
  <c r="R289" i="2" s="1"/>
  <c r="T289" i="2"/>
  <c r="I290" i="2" s="1"/>
  <c r="U289" i="2"/>
  <c r="J290" i="2" s="1"/>
  <c r="V289" i="2"/>
  <c r="K290" i="2" s="1"/>
  <c r="W289" i="2"/>
  <c r="L290" i="2" s="1"/>
  <c r="X289" i="2"/>
  <c r="M290" i="2" s="1"/>
  <c r="N290" i="2" l="1"/>
  <c r="O290" i="2" s="1"/>
  <c r="P290" i="2" l="1"/>
  <c r="Q290" i="2"/>
  <c r="R290" i="2" s="1"/>
  <c r="T290" i="2"/>
  <c r="I291" i="2" s="1"/>
  <c r="U290" i="2"/>
  <c r="J291" i="2" s="1"/>
  <c r="V290" i="2"/>
  <c r="K291" i="2" s="1"/>
  <c r="W290" i="2"/>
  <c r="L291" i="2" s="1"/>
  <c r="X290" i="2"/>
  <c r="M291" i="2" s="1"/>
  <c r="N291" i="2" l="1"/>
  <c r="O291" i="2" s="1"/>
  <c r="P291" i="2" l="1"/>
  <c r="Q291" i="2"/>
  <c r="R291" i="2" s="1"/>
  <c r="T291" i="2"/>
  <c r="I292" i="2" s="1"/>
  <c r="U291" i="2"/>
  <c r="J292" i="2" s="1"/>
  <c r="V291" i="2"/>
  <c r="K292" i="2" s="1"/>
  <c r="W291" i="2"/>
  <c r="L292" i="2" s="1"/>
  <c r="X291" i="2"/>
  <c r="M292" i="2" s="1"/>
  <c r="N292" i="2" l="1"/>
  <c r="O292" i="2" s="1"/>
  <c r="P292" i="2" l="1"/>
  <c r="Q292" i="2"/>
  <c r="R292" i="2" s="1"/>
  <c r="T292" i="2"/>
  <c r="I293" i="2" s="1"/>
  <c r="U292" i="2"/>
  <c r="J293" i="2" s="1"/>
  <c r="V292" i="2"/>
  <c r="K293" i="2" s="1"/>
  <c r="W292" i="2"/>
  <c r="L293" i="2" s="1"/>
  <c r="X292" i="2"/>
  <c r="M293" i="2" s="1"/>
  <c r="N293" i="2" l="1"/>
  <c r="O293" i="2" s="1"/>
  <c r="P293" i="2" l="1"/>
  <c r="Q293" i="2"/>
  <c r="R293" i="2" s="1"/>
  <c r="T293" i="2"/>
  <c r="I294" i="2" s="1"/>
  <c r="U293" i="2"/>
  <c r="J294" i="2" s="1"/>
  <c r="V293" i="2"/>
  <c r="K294" i="2" s="1"/>
  <c r="W293" i="2"/>
  <c r="L294" i="2" s="1"/>
  <c r="X293" i="2"/>
  <c r="M294" i="2" s="1"/>
  <c r="N294" i="2" l="1"/>
  <c r="O294" i="2" s="1"/>
  <c r="P294" i="2" l="1"/>
  <c r="Q294" i="2"/>
  <c r="R294" i="2" s="1"/>
  <c r="T294" i="2"/>
  <c r="I295" i="2" s="1"/>
  <c r="U294" i="2"/>
  <c r="J295" i="2" s="1"/>
  <c r="V294" i="2"/>
  <c r="K295" i="2" s="1"/>
  <c r="W294" i="2"/>
  <c r="L295" i="2" s="1"/>
  <c r="X294" i="2"/>
  <c r="M295" i="2" s="1"/>
  <c r="N295" i="2" l="1"/>
  <c r="O295" i="2" s="1"/>
  <c r="P295" i="2" l="1"/>
  <c r="Q295" i="2"/>
  <c r="R295" i="2" s="1"/>
  <c r="T295" i="2"/>
  <c r="I296" i="2" s="1"/>
  <c r="U295" i="2"/>
  <c r="J296" i="2" s="1"/>
  <c r="V295" i="2"/>
  <c r="K296" i="2" s="1"/>
  <c r="W295" i="2"/>
  <c r="L296" i="2" s="1"/>
  <c r="X295" i="2"/>
  <c r="M296" i="2" s="1"/>
  <c r="N296" i="2" l="1"/>
  <c r="O296" i="2" s="1"/>
  <c r="P296" i="2" l="1"/>
  <c r="Q296" i="2"/>
  <c r="R296" i="2" s="1"/>
  <c r="T296" i="2"/>
  <c r="I297" i="2" s="1"/>
  <c r="U296" i="2"/>
  <c r="J297" i="2" s="1"/>
  <c r="V296" i="2"/>
  <c r="K297" i="2" s="1"/>
  <c r="W296" i="2"/>
  <c r="L297" i="2" s="1"/>
  <c r="X296" i="2"/>
  <c r="M297" i="2" s="1"/>
  <c r="N297" i="2" l="1"/>
  <c r="O297" i="2" s="1"/>
  <c r="P297" i="2" l="1"/>
  <c r="Q297" i="2"/>
  <c r="R297" i="2" s="1"/>
  <c r="T297" i="2"/>
  <c r="I298" i="2" s="1"/>
  <c r="U297" i="2"/>
  <c r="J298" i="2" s="1"/>
  <c r="V297" i="2"/>
  <c r="K298" i="2" s="1"/>
  <c r="W297" i="2"/>
  <c r="L298" i="2" s="1"/>
  <c r="X297" i="2"/>
  <c r="M298" i="2" s="1"/>
  <c r="N298" i="2" l="1"/>
  <c r="O298" i="2" s="1"/>
  <c r="P298" i="2" l="1"/>
  <c r="Q298" i="2"/>
  <c r="R298" i="2" s="1"/>
  <c r="T298" i="2"/>
  <c r="I299" i="2" s="1"/>
  <c r="U298" i="2"/>
  <c r="J299" i="2" s="1"/>
  <c r="V298" i="2"/>
  <c r="K299" i="2" s="1"/>
  <c r="W298" i="2"/>
  <c r="L299" i="2" s="1"/>
  <c r="X298" i="2"/>
  <c r="M299" i="2" s="1"/>
  <c r="N299" i="2" l="1"/>
  <c r="O299" i="2" s="1"/>
  <c r="P299" i="2" l="1"/>
  <c r="Q299" i="2"/>
  <c r="R299" i="2" s="1"/>
  <c r="T299" i="2"/>
  <c r="I300" i="2" s="1"/>
  <c r="U299" i="2"/>
  <c r="J300" i="2" s="1"/>
  <c r="V299" i="2"/>
  <c r="K300" i="2" s="1"/>
  <c r="W299" i="2"/>
  <c r="L300" i="2" s="1"/>
  <c r="X299" i="2"/>
  <c r="M300" i="2" s="1"/>
  <c r="N300" i="2" l="1"/>
  <c r="O300" i="2" s="1"/>
  <c r="P300" i="2" l="1"/>
  <c r="Q300" i="2"/>
  <c r="R300" i="2" s="1"/>
  <c r="T300" i="2"/>
  <c r="I301" i="2" s="1"/>
  <c r="U300" i="2"/>
  <c r="J301" i="2" s="1"/>
  <c r="V300" i="2"/>
  <c r="K301" i="2" s="1"/>
  <c r="W300" i="2"/>
  <c r="L301" i="2" s="1"/>
  <c r="X300" i="2"/>
  <c r="M301" i="2" s="1"/>
  <c r="N301" i="2" l="1"/>
  <c r="O301" i="2" s="1"/>
  <c r="P301" i="2" l="1"/>
  <c r="Q301" i="2"/>
  <c r="R301" i="2" s="1"/>
  <c r="T301" i="2"/>
  <c r="I302" i="2" s="1"/>
  <c r="U301" i="2"/>
  <c r="J302" i="2" s="1"/>
  <c r="V301" i="2"/>
  <c r="K302" i="2" s="1"/>
  <c r="W301" i="2"/>
  <c r="L302" i="2" s="1"/>
  <c r="X301" i="2"/>
  <c r="M302" i="2" s="1"/>
  <c r="N302" i="2" l="1"/>
  <c r="O302" i="2" s="1"/>
  <c r="P302" i="2" l="1"/>
  <c r="Q302" i="2"/>
  <c r="R302" i="2" s="1"/>
  <c r="T302" i="2"/>
  <c r="I303" i="2" s="1"/>
  <c r="U302" i="2"/>
  <c r="J303" i="2" s="1"/>
  <c r="V302" i="2"/>
  <c r="K303" i="2" s="1"/>
  <c r="W302" i="2"/>
  <c r="L303" i="2" s="1"/>
  <c r="X302" i="2"/>
  <c r="M303" i="2" s="1"/>
  <c r="N303" i="2" l="1"/>
  <c r="O303" i="2" s="1"/>
  <c r="P303" i="2" l="1"/>
  <c r="Q303" i="2"/>
  <c r="R303" i="2" s="1"/>
  <c r="T303" i="2"/>
  <c r="I304" i="2" s="1"/>
  <c r="U303" i="2"/>
  <c r="J304" i="2" s="1"/>
  <c r="V303" i="2"/>
  <c r="K304" i="2" s="1"/>
  <c r="W303" i="2"/>
  <c r="L304" i="2" s="1"/>
  <c r="X303" i="2"/>
  <c r="M304" i="2" s="1"/>
  <c r="N304" i="2" l="1"/>
  <c r="O304" i="2" s="1"/>
  <c r="P304" i="2" l="1"/>
  <c r="Q304" i="2"/>
  <c r="R304" i="2" s="1"/>
  <c r="T304" i="2"/>
  <c r="I305" i="2" s="1"/>
  <c r="U304" i="2"/>
  <c r="J305" i="2" s="1"/>
  <c r="V304" i="2"/>
  <c r="K305" i="2" s="1"/>
  <c r="W304" i="2"/>
  <c r="L305" i="2" s="1"/>
  <c r="X304" i="2"/>
  <c r="M305" i="2" s="1"/>
  <c r="N305" i="2" l="1"/>
  <c r="O305" i="2" s="1"/>
  <c r="P305" i="2" l="1"/>
  <c r="Q305" i="2"/>
  <c r="R305" i="2" s="1"/>
  <c r="T305" i="2"/>
  <c r="I306" i="2" s="1"/>
  <c r="U305" i="2"/>
  <c r="J306" i="2" s="1"/>
  <c r="V305" i="2"/>
  <c r="K306" i="2" s="1"/>
  <c r="W305" i="2"/>
  <c r="L306" i="2" s="1"/>
  <c r="X305" i="2"/>
  <c r="M306" i="2" s="1"/>
  <c r="N306" i="2" l="1"/>
  <c r="O306" i="2" s="1"/>
  <c r="P306" i="2" l="1"/>
  <c r="Q306" i="2"/>
  <c r="R306" i="2" s="1"/>
  <c r="T306" i="2"/>
  <c r="I307" i="2" s="1"/>
  <c r="U306" i="2"/>
  <c r="J307" i="2" s="1"/>
  <c r="V306" i="2"/>
  <c r="K307" i="2" s="1"/>
  <c r="W306" i="2"/>
  <c r="L307" i="2" s="1"/>
  <c r="X306" i="2"/>
  <c r="M307" i="2" s="1"/>
  <c r="N307" i="2" l="1"/>
  <c r="O307" i="2" s="1"/>
  <c r="P307" i="2" l="1"/>
  <c r="Q307" i="2"/>
  <c r="R307" i="2" s="1"/>
  <c r="T307" i="2"/>
  <c r="I308" i="2" s="1"/>
  <c r="U307" i="2"/>
  <c r="J308" i="2" s="1"/>
  <c r="V307" i="2"/>
  <c r="K308" i="2" s="1"/>
  <c r="W307" i="2"/>
  <c r="L308" i="2" s="1"/>
  <c r="X307" i="2"/>
  <c r="M308" i="2" s="1"/>
  <c r="N308" i="2" l="1"/>
  <c r="O308" i="2" s="1"/>
  <c r="P308" i="2" l="1"/>
  <c r="Q308" i="2"/>
  <c r="R308" i="2" s="1"/>
  <c r="T308" i="2"/>
  <c r="I309" i="2" s="1"/>
  <c r="U308" i="2"/>
  <c r="J309" i="2" s="1"/>
  <c r="V308" i="2"/>
  <c r="K309" i="2" s="1"/>
  <c r="W308" i="2"/>
  <c r="L309" i="2" s="1"/>
  <c r="X308" i="2"/>
  <c r="M309" i="2" s="1"/>
  <c r="N309" i="2" l="1"/>
  <c r="O309" i="2" s="1"/>
  <c r="P309" i="2" l="1"/>
  <c r="Q309" i="2"/>
  <c r="R309" i="2" s="1"/>
  <c r="T309" i="2"/>
  <c r="I310" i="2" s="1"/>
  <c r="U309" i="2"/>
  <c r="J310" i="2" s="1"/>
  <c r="V309" i="2"/>
  <c r="K310" i="2" s="1"/>
  <c r="W309" i="2"/>
  <c r="L310" i="2" s="1"/>
  <c r="X309" i="2"/>
  <c r="M310" i="2" s="1"/>
  <c r="N310" i="2" l="1"/>
  <c r="O310" i="2" s="1"/>
  <c r="P310" i="2" l="1"/>
  <c r="Q310" i="2"/>
  <c r="R310" i="2" s="1"/>
  <c r="T310" i="2"/>
  <c r="I311" i="2" s="1"/>
  <c r="U310" i="2"/>
  <c r="J311" i="2" s="1"/>
  <c r="V310" i="2"/>
  <c r="K311" i="2" s="1"/>
  <c r="W310" i="2"/>
  <c r="L311" i="2" s="1"/>
  <c r="X310" i="2"/>
  <c r="M311" i="2" s="1"/>
  <c r="N311" i="2" l="1"/>
  <c r="O311" i="2" s="1"/>
  <c r="P311" i="2" l="1"/>
  <c r="Q311" i="2"/>
  <c r="R311" i="2" s="1"/>
  <c r="T311" i="2"/>
  <c r="I312" i="2" s="1"/>
  <c r="U311" i="2"/>
  <c r="J312" i="2" s="1"/>
  <c r="V311" i="2"/>
  <c r="K312" i="2" s="1"/>
  <c r="W311" i="2"/>
  <c r="L312" i="2" s="1"/>
  <c r="X311" i="2"/>
  <c r="M312" i="2" s="1"/>
  <c r="N312" i="2" l="1"/>
  <c r="O312" i="2" s="1"/>
  <c r="P312" i="2" l="1"/>
  <c r="Q312" i="2"/>
  <c r="R312" i="2" s="1"/>
  <c r="T312" i="2"/>
  <c r="I313" i="2" s="1"/>
  <c r="U312" i="2"/>
  <c r="J313" i="2" s="1"/>
  <c r="V312" i="2"/>
  <c r="K313" i="2" s="1"/>
  <c r="W312" i="2"/>
  <c r="L313" i="2" s="1"/>
  <c r="X312" i="2"/>
  <c r="M313" i="2" s="1"/>
  <c r="N313" i="2" l="1"/>
  <c r="O313" i="2" s="1"/>
  <c r="P313" i="2" l="1"/>
  <c r="Q313" i="2"/>
  <c r="R313" i="2" s="1"/>
  <c r="T313" i="2"/>
  <c r="I314" i="2" s="1"/>
  <c r="U313" i="2"/>
  <c r="J314" i="2" s="1"/>
  <c r="V313" i="2"/>
  <c r="K314" i="2" s="1"/>
  <c r="W313" i="2"/>
  <c r="L314" i="2" s="1"/>
  <c r="X313" i="2"/>
  <c r="M314" i="2" s="1"/>
  <c r="N314" i="2" l="1"/>
  <c r="O314" i="2" s="1"/>
  <c r="P314" i="2" l="1"/>
  <c r="Q314" i="2"/>
  <c r="R314" i="2" s="1"/>
  <c r="T314" i="2"/>
  <c r="I315" i="2" s="1"/>
  <c r="U314" i="2"/>
  <c r="J315" i="2" s="1"/>
  <c r="V314" i="2"/>
  <c r="K315" i="2" s="1"/>
  <c r="W314" i="2"/>
  <c r="L315" i="2" s="1"/>
  <c r="X314" i="2"/>
  <c r="M315" i="2" s="1"/>
  <c r="N315" i="2" l="1"/>
  <c r="O315" i="2" s="1"/>
  <c r="P315" i="2" l="1"/>
  <c r="Q315" i="2"/>
  <c r="R315" i="2" s="1"/>
  <c r="T315" i="2"/>
  <c r="I316" i="2" s="1"/>
  <c r="U315" i="2"/>
  <c r="J316" i="2" s="1"/>
  <c r="V315" i="2"/>
  <c r="K316" i="2" s="1"/>
  <c r="W315" i="2"/>
  <c r="L316" i="2" s="1"/>
  <c r="X315" i="2"/>
  <c r="M316" i="2" s="1"/>
  <c r="N316" i="2" l="1"/>
  <c r="O316" i="2" s="1"/>
  <c r="P316" i="2" l="1"/>
  <c r="Q316" i="2"/>
  <c r="R316" i="2" s="1"/>
  <c r="T316" i="2"/>
  <c r="I317" i="2" s="1"/>
  <c r="U316" i="2"/>
  <c r="J317" i="2" s="1"/>
  <c r="V316" i="2"/>
  <c r="K317" i="2" s="1"/>
  <c r="W316" i="2"/>
  <c r="L317" i="2" s="1"/>
  <c r="X316" i="2"/>
  <c r="M317" i="2" s="1"/>
  <c r="N317" i="2" l="1"/>
  <c r="O317" i="2" s="1"/>
  <c r="P317" i="2" l="1"/>
  <c r="Q317" i="2"/>
  <c r="R317" i="2" s="1"/>
  <c r="T317" i="2"/>
  <c r="I318" i="2" s="1"/>
  <c r="U317" i="2"/>
  <c r="J318" i="2" s="1"/>
  <c r="V317" i="2"/>
  <c r="K318" i="2" s="1"/>
  <c r="W317" i="2"/>
  <c r="L318" i="2" s="1"/>
  <c r="X317" i="2"/>
  <c r="M318" i="2" s="1"/>
  <c r="N318" i="2" l="1"/>
  <c r="O318" i="2" s="1"/>
  <c r="P318" i="2" l="1"/>
  <c r="Q318" i="2"/>
  <c r="R318" i="2" s="1"/>
  <c r="T318" i="2"/>
  <c r="I319" i="2" s="1"/>
  <c r="U318" i="2"/>
  <c r="J319" i="2" s="1"/>
  <c r="V318" i="2"/>
  <c r="K319" i="2" s="1"/>
  <c r="W318" i="2"/>
  <c r="L319" i="2" s="1"/>
  <c r="X318" i="2"/>
  <c r="M319" i="2" s="1"/>
  <c r="N319" i="2" l="1"/>
  <c r="O319" i="2" s="1"/>
  <c r="P319" i="2" l="1"/>
  <c r="Q319" i="2"/>
  <c r="R319" i="2" s="1"/>
  <c r="T319" i="2"/>
  <c r="I320" i="2" s="1"/>
  <c r="U319" i="2"/>
  <c r="J320" i="2" s="1"/>
  <c r="V319" i="2"/>
  <c r="K320" i="2" s="1"/>
  <c r="W319" i="2"/>
  <c r="L320" i="2" s="1"/>
  <c r="X319" i="2"/>
  <c r="M320" i="2" s="1"/>
  <c r="N320" i="2" l="1"/>
  <c r="O320" i="2" s="1"/>
  <c r="P320" i="2" l="1"/>
  <c r="Q320" i="2"/>
  <c r="R320" i="2" s="1"/>
  <c r="T320" i="2"/>
  <c r="I321" i="2" s="1"/>
  <c r="U320" i="2"/>
  <c r="J321" i="2" s="1"/>
  <c r="V320" i="2"/>
  <c r="K321" i="2" s="1"/>
  <c r="W320" i="2"/>
  <c r="L321" i="2" s="1"/>
  <c r="X320" i="2"/>
  <c r="M321" i="2" s="1"/>
  <c r="N321" i="2" l="1"/>
  <c r="O321" i="2" s="1"/>
  <c r="P321" i="2" l="1"/>
  <c r="Q321" i="2"/>
  <c r="R321" i="2" s="1"/>
  <c r="T321" i="2"/>
  <c r="I322" i="2" s="1"/>
  <c r="U321" i="2"/>
  <c r="J322" i="2" s="1"/>
  <c r="V321" i="2"/>
  <c r="K322" i="2" s="1"/>
  <c r="W321" i="2"/>
  <c r="L322" i="2" s="1"/>
  <c r="X321" i="2"/>
  <c r="M322" i="2" s="1"/>
  <c r="N322" i="2" l="1"/>
  <c r="O322" i="2" s="1"/>
  <c r="P322" i="2" l="1"/>
  <c r="Q322" i="2"/>
  <c r="R322" i="2" s="1"/>
  <c r="T322" i="2"/>
  <c r="I323" i="2" s="1"/>
  <c r="U322" i="2"/>
  <c r="J323" i="2" s="1"/>
  <c r="V322" i="2"/>
  <c r="K323" i="2" s="1"/>
  <c r="W322" i="2"/>
  <c r="L323" i="2" s="1"/>
  <c r="X322" i="2"/>
  <c r="M323" i="2" s="1"/>
  <c r="N323" i="2" l="1"/>
  <c r="O323" i="2" s="1"/>
  <c r="P323" i="2" l="1"/>
  <c r="Q323" i="2"/>
  <c r="R323" i="2" s="1"/>
  <c r="T323" i="2"/>
  <c r="I324" i="2" s="1"/>
  <c r="U323" i="2"/>
  <c r="J324" i="2" s="1"/>
  <c r="V323" i="2"/>
  <c r="K324" i="2" s="1"/>
  <c r="W323" i="2"/>
  <c r="L324" i="2" s="1"/>
  <c r="X323" i="2"/>
  <c r="M324" i="2" s="1"/>
  <c r="N324" i="2" l="1"/>
  <c r="O324" i="2" s="1"/>
  <c r="P324" i="2" l="1"/>
  <c r="H324" i="2" s="1"/>
  <c r="AB7" i="2" s="1"/>
  <c r="Q324" i="2"/>
  <c r="R324" i="2" s="1"/>
  <c r="S324" i="2" s="1"/>
  <c r="AA7" i="2" s="1"/>
  <c r="T324" i="2"/>
  <c r="U324" i="2"/>
  <c r="V324" i="2"/>
  <c r="W324" i="2"/>
  <c r="X324" i="2"/>
  <c r="I325" i="2" l="1"/>
  <c r="I67" i="3"/>
  <c r="J67" i="3"/>
  <c r="J325" i="2"/>
  <c r="K67" i="3"/>
  <c r="K325" i="2"/>
  <c r="L67" i="3"/>
  <c r="L325" i="2"/>
  <c r="M325" i="2"/>
  <c r="M67" i="3"/>
  <c r="N325" i="2" l="1"/>
  <c r="O325" i="2" s="1"/>
  <c r="N67" i="3"/>
  <c r="O67" i="3" s="1"/>
  <c r="P325" i="2" l="1"/>
  <c r="Q325" i="2"/>
  <c r="R325" i="2" s="1"/>
  <c r="T325" i="2"/>
  <c r="I326" i="2" s="1"/>
  <c r="U325" i="2"/>
  <c r="J326" i="2" s="1"/>
  <c r="V325" i="2"/>
  <c r="K326" i="2" s="1"/>
  <c r="W325" i="2"/>
  <c r="L326" i="2" s="1"/>
  <c r="X325" i="2"/>
  <c r="M326" i="2" s="1"/>
  <c r="P67" i="3"/>
  <c r="Q67" i="3"/>
  <c r="R67" i="3" s="1"/>
  <c r="T67" i="3"/>
  <c r="I68" i="3" s="1"/>
  <c r="U67" i="3"/>
  <c r="J68" i="3" s="1"/>
  <c r="V67" i="3"/>
  <c r="K68" i="3" s="1"/>
  <c r="W67" i="3"/>
  <c r="L68" i="3" s="1"/>
  <c r="X67" i="3"/>
  <c r="M68" i="3" s="1"/>
  <c r="N326" i="2" l="1"/>
  <c r="O326" i="2" s="1"/>
  <c r="N68" i="3"/>
  <c r="O68" i="3" s="1"/>
  <c r="P326" i="2" l="1"/>
  <c r="Q326" i="2"/>
  <c r="R326" i="2" s="1"/>
  <c r="T326" i="2"/>
  <c r="I327" i="2" s="1"/>
  <c r="U326" i="2"/>
  <c r="J327" i="2" s="1"/>
  <c r="V326" i="2"/>
  <c r="K327" i="2" s="1"/>
  <c r="W326" i="2"/>
  <c r="L327" i="2" s="1"/>
  <c r="X326" i="2"/>
  <c r="M327" i="2" s="1"/>
  <c r="P68" i="3"/>
  <c r="Q68" i="3"/>
  <c r="R68" i="3" s="1"/>
  <c r="T68" i="3"/>
  <c r="I69" i="3" s="1"/>
  <c r="U68" i="3"/>
  <c r="J69" i="3" s="1"/>
  <c r="V68" i="3"/>
  <c r="K69" i="3" s="1"/>
  <c r="W68" i="3"/>
  <c r="L69" i="3" s="1"/>
  <c r="X68" i="3"/>
  <c r="M69" i="3" s="1"/>
  <c r="N327" i="2" l="1"/>
  <c r="O327" i="2" s="1"/>
  <c r="N69" i="3"/>
  <c r="O69" i="3" s="1"/>
  <c r="P327" i="2" l="1"/>
  <c r="Q327" i="2"/>
  <c r="R327" i="2" s="1"/>
  <c r="T327" i="2"/>
  <c r="I328" i="2" s="1"/>
  <c r="U327" i="2"/>
  <c r="J328" i="2" s="1"/>
  <c r="V327" i="2"/>
  <c r="K328" i="2" s="1"/>
  <c r="W327" i="2"/>
  <c r="L328" i="2" s="1"/>
  <c r="X327" i="2"/>
  <c r="M328" i="2" s="1"/>
  <c r="P69" i="3"/>
  <c r="Q69" i="3"/>
  <c r="R69" i="3" s="1"/>
  <c r="T69" i="3"/>
  <c r="I70" i="3" s="1"/>
  <c r="U69" i="3"/>
  <c r="J70" i="3" s="1"/>
  <c r="V69" i="3"/>
  <c r="K70" i="3" s="1"/>
  <c r="W69" i="3"/>
  <c r="L70" i="3" s="1"/>
  <c r="X69" i="3"/>
  <c r="M70" i="3" s="1"/>
  <c r="N328" i="2" l="1"/>
  <c r="O328" i="2" s="1"/>
  <c r="N70" i="3"/>
  <c r="O70" i="3" s="1"/>
  <c r="P328" i="2" l="1"/>
  <c r="Q328" i="2"/>
  <c r="R328" i="2" s="1"/>
  <c r="T328" i="2"/>
  <c r="I329" i="2" s="1"/>
  <c r="U328" i="2"/>
  <c r="J329" i="2" s="1"/>
  <c r="V328" i="2"/>
  <c r="K329" i="2" s="1"/>
  <c r="W328" i="2"/>
  <c r="L329" i="2" s="1"/>
  <c r="X328" i="2"/>
  <c r="M329" i="2" s="1"/>
  <c r="P70" i="3"/>
  <c r="Q70" i="3"/>
  <c r="R70" i="3" s="1"/>
  <c r="T70" i="3"/>
  <c r="I71" i="3" s="1"/>
  <c r="U70" i="3"/>
  <c r="J71" i="3" s="1"/>
  <c r="V70" i="3"/>
  <c r="K71" i="3" s="1"/>
  <c r="W70" i="3"/>
  <c r="L71" i="3" s="1"/>
  <c r="X70" i="3"/>
  <c r="M71" i="3" s="1"/>
  <c r="N329" i="2" l="1"/>
  <c r="O329" i="2" s="1"/>
  <c r="N71" i="3"/>
  <c r="O71" i="3" s="1"/>
  <c r="P329" i="2" l="1"/>
  <c r="Q329" i="2"/>
  <c r="R329" i="2" s="1"/>
  <c r="T329" i="2"/>
  <c r="I330" i="2" s="1"/>
  <c r="U329" i="2"/>
  <c r="J330" i="2" s="1"/>
  <c r="V329" i="2"/>
  <c r="K330" i="2" s="1"/>
  <c r="W329" i="2"/>
  <c r="L330" i="2" s="1"/>
  <c r="X329" i="2"/>
  <c r="M330" i="2" s="1"/>
  <c r="P71" i="3"/>
  <c r="Q71" i="3"/>
  <c r="R71" i="3" s="1"/>
  <c r="T71" i="3"/>
  <c r="I72" i="3" s="1"/>
  <c r="U71" i="3"/>
  <c r="J72" i="3" s="1"/>
  <c r="V71" i="3"/>
  <c r="K72" i="3" s="1"/>
  <c r="W71" i="3"/>
  <c r="L72" i="3" s="1"/>
  <c r="X71" i="3"/>
  <c r="M72" i="3" s="1"/>
  <c r="N330" i="2" l="1"/>
  <c r="O330" i="2" s="1"/>
  <c r="N72" i="3"/>
  <c r="O72" i="3" s="1"/>
  <c r="P330" i="2" l="1"/>
  <c r="Q330" i="2"/>
  <c r="R330" i="2" s="1"/>
  <c r="T330" i="2"/>
  <c r="I331" i="2" s="1"/>
  <c r="U330" i="2"/>
  <c r="J331" i="2" s="1"/>
  <c r="V330" i="2"/>
  <c r="K331" i="2" s="1"/>
  <c r="W330" i="2"/>
  <c r="L331" i="2" s="1"/>
  <c r="X330" i="2"/>
  <c r="M331" i="2" s="1"/>
  <c r="P72" i="3"/>
  <c r="Q72" i="3"/>
  <c r="R72" i="3" s="1"/>
  <c r="T72" i="3"/>
  <c r="I73" i="3" s="1"/>
  <c r="U72" i="3"/>
  <c r="J73" i="3" s="1"/>
  <c r="V72" i="3"/>
  <c r="K73" i="3" s="1"/>
  <c r="W72" i="3"/>
  <c r="L73" i="3" s="1"/>
  <c r="X72" i="3"/>
  <c r="M73" i="3" s="1"/>
  <c r="N331" i="2" l="1"/>
  <c r="O331" i="2" s="1"/>
  <c r="N73" i="3"/>
  <c r="O73" i="3" s="1"/>
  <c r="P331" i="2" l="1"/>
  <c r="Q331" i="2"/>
  <c r="R331" i="2" s="1"/>
  <c r="T331" i="2"/>
  <c r="I332" i="2" s="1"/>
  <c r="U331" i="2"/>
  <c r="J332" i="2" s="1"/>
  <c r="V331" i="2"/>
  <c r="K332" i="2" s="1"/>
  <c r="W331" i="2"/>
  <c r="L332" i="2" s="1"/>
  <c r="X331" i="2"/>
  <c r="M332" i="2" s="1"/>
  <c r="P73" i="3"/>
  <c r="Q73" i="3"/>
  <c r="R73" i="3" s="1"/>
  <c r="T73" i="3"/>
  <c r="I74" i="3" s="1"/>
  <c r="U73" i="3"/>
  <c r="J74" i="3" s="1"/>
  <c r="V73" i="3"/>
  <c r="K74" i="3" s="1"/>
  <c r="W73" i="3"/>
  <c r="L74" i="3" s="1"/>
  <c r="X73" i="3"/>
  <c r="M74" i="3" s="1"/>
  <c r="N332" i="2" l="1"/>
  <c r="O332" i="2" s="1"/>
  <c r="N74" i="3"/>
  <c r="O74" i="3" s="1"/>
  <c r="P332" i="2" l="1"/>
  <c r="Q332" i="2"/>
  <c r="R332" i="2" s="1"/>
  <c r="T332" i="2"/>
  <c r="I333" i="2" s="1"/>
  <c r="U332" i="2"/>
  <c r="J333" i="2" s="1"/>
  <c r="V332" i="2"/>
  <c r="K333" i="2" s="1"/>
  <c r="W332" i="2"/>
  <c r="L333" i="2" s="1"/>
  <c r="X332" i="2"/>
  <c r="M333" i="2" s="1"/>
  <c r="P74" i="3"/>
  <c r="Q74" i="3"/>
  <c r="R74" i="3" s="1"/>
  <c r="T74" i="3"/>
  <c r="I75" i="3" s="1"/>
  <c r="U74" i="3"/>
  <c r="J75" i="3" s="1"/>
  <c r="V74" i="3"/>
  <c r="K75" i="3" s="1"/>
  <c r="W74" i="3"/>
  <c r="L75" i="3" s="1"/>
  <c r="X74" i="3"/>
  <c r="M75" i="3" s="1"/>
  <c r="N333" i="2" l="1"/>
  <c r="O333" i="2" s="1"/>
  <c r="N75" i="3"/>
  <c r="O75" i="3" s="1"/>
  <c r="P333" i="2" l="1"/>
  <c r="Q333" i="2"/>
  <c r="R333" i="2" s="1"/>
  <c r="T333" i="2"/>
  <c r="I334" i="2" s="1"/>
  <c r="U333" i="2"/>
  <c r="J334" i="2" s="1"/>
  <c r="V333" i="2"/>
  <c r="K334" i="2" s="1"/>
  <c r="W333" i="2"/>
  <c r="L334" i="2" s="1"/>
  <c r="X333" i="2"/>
  <c r="M334" i="2" s="1"/>
  <c r="P75" i="3"/>
  <c r="Q75" i="3"/>
  <c r="R75" i="3" s="1"/>
  <c r="T75" i="3"/>
  <c r="I76" i="3" s="1"/>
  <c r="U75" i="3"/>
  <c r="J76" i="3" s="1"/>
  <c r="V75" i="3"/>
  <c r="K76" i="3" s="1"/>
  <c r="W75" i="3"/>
  <c r="L76" i="3" s="1"/>
  <c r="X75" i="3"/>
  <c r="M76" i="3" s="1"/>
  <c r="N334" i="2" l="1"/>
  <c r="O334" i="2" s="1"/>
  <c r="N76" i="3"/>
  <c r="O76" i="3" s="1"/>
  <c r="P334" i="2" l="1"/>
  <c r="Q334" i="2"/>
  <c r="R334" i="2" s="1"/>
  <c r="T334" i="2"/>
  <c r="I335" i="2" s="1"/>
  <c r="U334" i="2"/>
  <c r="J335" i="2" s="1"/>
  <c r="V334" i="2"/>
  <c r="K335" i="2" s="1"/>
  <c r="W334" i="2"/>
  <c r="L335" i="2" s="1"/>
  <c r="X334" i="2"/>
  <c r="M335" i="2" s="1"/>
  <c r="P76" i="3"/>
  <c r="Q76" i="3"/>
  <c r="R76" i="3" s="1"/>
  <c r="T76" i="3"/>
  <c r="I77" i="3" s="1"/>
  <c r="U76" i="3"/>
  <c r="J77" i="3" s="1"/>
  <c r="V76" i="3"/>
  <c r="K77" i="3" s="1"/>
  <c r="W76" i="3"/>
  <c r="L77" i="3" s="1"/>
  <c r="X76" i="3"/>
  <c r="M77" i="3" s="1"/>
  <c r="N335" i="2" l="1"/>
  <c r="O335" i="2" s="1"/>
  <c r="N77" i="3"/>
  <c r="O77" i="3" s="1"/>
  <c r="P335" i="2" l="1"/>
  <c r="Q335" i="2"/>
  <c r="R335" i="2" s="1"/>
  <c r="T335" i="2"/>
  <c r="I336" i="2" s="1"/>
  <c r="U335" i="2"/>
  <c r="J336" i="2" s="1"/>
  <c r="V335" i="2"/>
  <c r="K336" i="2" s="1"/>
  <c r="W335" i="2"/>
  <c r="L336" i="2" s="1"/>
  <c r="X335" i="2"/>
  <c r="M336" i="2" s="1"/>
  <c r="P77" i="3"/>
  <c r="Q77" i="3"/>
  <c r="R77" i="3" s="1"/>
  <c r="T77" i="3"/>
  <c r="I78" i="3" s="1"/>
  <c r="U77" i="3"/>
  <c r="J78" i="3" s="1"/>
  <c r="V77" i="3"/>
  <c r="K78" i="3" s="1"/>
  <c r="W77" i="3"/>
  <c r="L78" i="3" s="1"/>
  <c r="X77" i="3"/>
  <c r="M78" i="3" s="1"/>
  <c r="N336" i="2" l="1"/>
  <c r="O336" i="2" s="1"/>
  <c r="N78" i="3"/>
  <c r="O78" i="3" s="1"/>
  <c r="P336" i="2" l="1"/>
  <c r="Q336" i="2"/>
  <c r="R336" i="2" s="1"/>
  <c r="T336" i="2"/>
  <c r="I337" i="2" s="1"/>
  <c r="U336" i="2"/>
  <c r="J337" i="2" s="1"/>
  <c r="V336" i="2"/>
  <c r="K337" i="2" s="1"/>
  <c r="W336" i="2"/>
  <c r="L337" i="2" s="1"/>
  <c r="X336" i="2"/>
  <c r="M337" i="2" s="1"/>
  <c r="P78" i="3"/>
  <c r="Q78" i="3"/>
  <c r="R78" i="3" s="1"/>
  <c r="T78" i="3"/>
  <c r="I79" i="3" s="1"/>
  <c r="U78" i="3"/>
  <c r="J79" i="3" s="1"/>
  <c r="V78" i="3"/>
  <c r="K79" i="3" s="1"/>
  <c r="W78" i="3"/>
  <c r="L79" i="3" s="1"/>
  <c r="X78" i="3"/>
  <c r="M79" i="3" s="1"/>
  <c r="N337" i="2" l="1"/>
  <c r="O337" i="2" s="1"/>
  <c r="N79" i="3"/>
  <c r="O79" i="3" s="1"/>
  <c r="P337" i="2" l="1"/>
  <c r="Q337" i="2"/>
  <c r="R337" i="2" s="1"/>
  <c r="T337" i="2"/>
  <c r="I338" i="2" s="1"/>
  <c r="U337" i="2"/>
  <c r="J338" i="2" s="1"/>
  <c r="V337" i="2"/>
  <c r="K338" i="2" s="1"/>
  <c r="W337" i="2"/>
  <c r="L338" i="2" s="1"/>
  <c r="X337" i="2"/>
  <c r="M338" i="2" s="1"/>
  <c r="P79" i="3"/>
  <c r="Q79" i="3"/>
  <c r="R79" i="3" s="1"/>
  <c r="T79" i="3"/>
  <c r="I80" i="3" s="1"/>
  <c r="U79" i="3"/>
  <c r="J80" i="3" s="1"/>
  <c r="V79" i="3"/>
  <c r="K80" i="3" s="1"/>
  <c r="W79" i="3"/>
  <c r="L80" i="3" s="1"/>
  <c r="X79" i="3"/>
  <c r="M80" i="3" s="1"/>
  <c r="N338" i="2" l="1"/>
  <c r="O338" i="2" s="1"/>
  <c r="N80" i="3"/>
  <c r="O80" i="3" s="1"/>
  <c r="P338" i="2" l="1"/>
  <c r="Q338" i="2"/>
  <c r="R338" i="2" s="1"/>
  <c r="T338" i="2"/>
  <c r="I339" i="2" s="1"/>
  <c r="U338" i="2"/>
  <c r="J339" i="2" s="1"/>
  <c r="V338" i="2"/>
  <c r="K339" i="2" s="1"/>
  <c r="W338" i="2"/>
  <c r="L339" i="2" s="1"/>
  <c r="X338" i="2"/>
  <c r="M339" i="2" s="1"/>
  <c r="P80" i="3"/>
  <c r="Q80" i="3"/>
  <c r="R80" i="3" s="1"/>
  <c r="T80" i="3"/>
  <c r="I81" i="3" s="1"/>
  <c r="U80" i="3"/>
  <c r="J81" i="3" s="1"/>
  <c r="V80" i="3"/>
  <c r="K81" i="3" s="1"/>
  <c r="W80" i="3"/>
  <c r="L81" i="3" s="1"/>
  <c r="X80" i="3"/>
  <c r="M81" i="3" s="1"/>
  <c r="N339" i="2" l="1"/>
  <c r="O339" i="2" s="1"/>
  <c r="N81" i="3"/>
  <c r="O81" i="3" s="1"/>
  <c r="P339" i="2" l="1"/>
  <c r="Q339" i="2"/>
  <c r="R339" i="2" s="1"/>
  <c r="T339" i="2"/>
  <c r="I340" i="2" s="1"/>
  <c r="U339" i="2"/>
  <c r="J340" i="2" s="1"/>
  <c r="V339" i="2"/>
  <c r="K340" i="2" s="1"/>
  <c r="W339" i="2"/>
  <c r="L340" i="2" s="1"/>
  <c r="X339" i="2"/>
  <c r="M340" i="2" s="1"/>
  <c r="P81" i="3"/>
  <c r="Q81" i="3"/>
  <c r="R81" i="3" s="1"/>
  <c r="T81" i="3"/>
  <c r="I82" i="3" s="1"/>
  <c r="U81" i="3"/>
  <c r="J82" i="3" s="1"/>
  <c r="V81" i="3"/>
  <c r="K82" i="3" s="1"/>
  <c r="W81" i="3"/>
  <c r="L82" i="3" s="1"/>
  <c r="X81" i="3"/>
  <c r="M82" i="3" s="1"/>
  <c r="N340" i="2" l="1"/>
  <c r="O340" i="2" s="1"/>
  <c r="N82" i="3"/>
  <c r="O82" i="3" s="1"/>
  <c r="P340" i="2" l="1"/>
  <c r="Q340" i="2"/>
  <c r="R340" i="2" s="1"/>
  <c r="T340" i="2"/>
  <c r="I341" i="2" s="1"/>
  <c r="U340" i="2"/>
  <c r="J341" i="2" s="1"/>
  <c r="V340" i="2"/>
  <c r="K341" i="2" s="1"/>
  <c r="W340" i="2"/>
  <c r="L341" i="2" s="1"/>
  <c r="X340" i="2"/>
  <c r="M341" i="2" s="1"/>
  <c r="P82" i="3"/>
  <c r="Q82" i="3"/>
  <c r="R82" i="3" s="1"/>
  <c r="T82" i="3"/>
  <c r="I83" i="3" s="1"/>
  <c r="U82" i="3"/>
  <c r="J83" i="3" s="1"/>
  <c r="V82" i="3"/>
  <c r="K83" i="3" s="1"/>
  <c r="W82" i="3"/>
  <c r="L83" i="3" s="1"/>
  <c r="X82" i="3"/>
  <c r="M83" i="3" s="1"/>
  <c r="N341" i="2" l="1"/>
  <c r="O341" i="2" s="1"/>
  <c r="N83" i="3"/>
  <c r="O83" i="3" s="1"/>
  <c r="P341" i="2" l="1"/>
  <c r="Q341" i="2"/>
  <c r="R341" i="2" s="1"/>
  <c r="T341" i="2"/>
  <c r="I342" i="2" s="1"/>
  <c r="U341" i="2"/>
  <c r="J342" i="2" s="1"/>
  <c r="V341" i="2"/>
  <c r="K342" i="2" s="1"/>
  <c r="W341" i="2"/>
  <c r="L342" i="2" s="1"/>
  <c r="X341" i="2"/>
  <c r="M342" i="2" s="1"/>
  <c r="P83" i="3"/>
  <c r="Q83" i="3"/>
  <c r="R83" i="3" s="1"/>
  <c r="T83" i="3"/>
  <c r="I84" i="3" s="1"/>
  <c r="U83" i="3"/>
  <c r="J84" i="3" s="1"/>
  <c r="V83" i="3"/>
  <c r="K84" i="3" s="1"/>
  <c r="W83" i="3"/>
  <c r="L84" i="3" s="1"/>
  <c r="X83" i="3"/>
  <c r="M84" i="3" s="1"/>
  <c r="N342" i="2" l="1"/>
  <c r="O342" i="2" s="1"/>
  <c r="N84" i="3"/>
  <c r="O84" i="3" s="1"/>
  <c r="P342" i="2" l="1"/>
  <c r="Q342" i="2"/>
  <c r="R342" i="2" s="1"/>
  <c r="T342" i="2"/>
  <c r="I343" i="2" s="1"/>
  <c r="U342" i="2"/>
  <c r="J343" i="2" s="1"/>
  <c r="V342" i="2"/>
  <c r="K343" i="2" s="1"/>
  <c r="W342" i="2"/>
  <c r="L343" i="2" s="1"/>
  <c r="X342" i="2"/>
  <c r="M343" i="2" s="1"/>
  <c r="P84" i="3"/>
  <c r="Q84" i="3"/>
  <c r="R84" i="3" s="1"/>
  <c r="T84" i="3"/>
  <c r="I85" i="3" s="1"/>
  <c r="U84" i="3"/>
  <c r="J85" i="3" s="1"/>
  <c r="V84" i="3"/>
  <c r="K85" i="3" s="1"/>
  <c r="W84" i="3"/>
  <c r="L85" i="3" s="1"/>
  <c r="X84" i="3"/>
  <c r="M85" i="3" s="1"/>
  <c r="N343" i="2" l="1"/>
  <c r="O343" i="2" s="1"/>
  <c r="N85" i="3"/>
  <c r="O85" i="3" s="1"/>
  <c r="P343" i="2" l="1"/>
  <c r="Q343" i="2"/>
  <c r="R343" i="2" s="1"/>
  <c r="T343" i="2"/>
  <c r="I344" i="2" s="1"/>
  <c r="U343" i="2"/>
  <c r="J344" i="2" s="1"/>
  <c r="V343" i="2"/>
  <c r="K344" i="2" s="1"/>
  <c r="W343" i="2"/>
  <c r="L344" i="2" s="1"/>
  <c r="X343" i="2"/>
  <c r="M344" i="2" s="1"/>
  <c r="P85" i="3"/>
  <c r="Q85" i="3"/>
  <c r="R85" i="3" s="1"/>
  <c r="T85" i="3"/>
  <c r="I86" i="3" s="1"/>
  <c r="U85" i="3"/>
  <c r="J86" i="3" s="1"/>
  <c r="V85" i="3"/>
  <c r="K86" i="3" s="1"/>
  <c r="W85" i="3"/>
  <c r="L86" i="3" s="1"/>
  <c r="X85" i="3"/>
  <c r="M86" i="3" s="1"/>
  <c r="N344" i="2" l="1"/>
  <c r="O344" i="2" s="1"/>
  <c r="N86" i="3"/>
  <c r="O86" i="3" s="1"/>
  <c r="P344" i="2" l="1"/>
  <c r="Q344" i="2"/>
  <c r="R344" i="2" s="1"/>
  <c r="T344" i="2"/>
  <c r="I345" i="2" s="1"/>
  <c r="U344" i="2"/>
  <c r="J345" i="2" s="1"/>
  <c r="V344" i="2"/>
  <c r="K345" i="2" s="1"/>
  <c r="W344" i="2"/>
  <c r="L345" i="2" s="1"/>
  <c r="X344" i="2"/>
  <c r="M345" i="2" s="1"/>
  <c r="P86" i="3"/>
  <c r="H86" i="3" s="1"/>
  <c r="U86" i="3"/>
  <c r="W86" i="3"/>
  <c r="Q86" i="3"/>
  <c r="R86" i="3" s="1"/>
  <c r="S86" i="3" s="1"/>
  <c r="T86" i="3"/>
  <c r="V86" i="3"/>
  <c r="X86" i="3"/>
  <c r="N345" i="2" l="1"/>
  <c r="O345" i="2" s="1"/>
  <c r="P345" i="2" l="1"/>
  <c r="Q345" i="2"/>
  <c r="R345" i="2" s="1"/>
  <c r="T345" i="2"/>
  <c r="I346" i="2" s="1"/>
  <c r="U345" i="2"/>
  <c r="J346" i="2" s="1"/>
  <c r="V345" i="2"/>
  <c r="K346" i="2" s="1"/>
  <c r="W345" i="2"/>
  <c r="L346" i="2" s="1"/>
  <c r="X345" i="2"/>
  <c r="M346" i="2" s="1"/>
  <c r="N346" i="2" l="1"/>
  <c r="O346" i="2" s="1"/>
  <c r="P346" i="2" l="1"/>
  <c r="Q346" i="2"/>
  <c r="R346" i="2" s="1"/>
  <c r="T346" i="2"/>
  <c r="I347" i="2" s="1"/>
  <c r="U346" i="2"/>
  <c r="J347" i="2" s="1"/>
  <c r="V346" i="2"/>
  <c r="K347" i="2" s="1"/>
  <c r="W346" i="2"/>
  <c r="L347" i="2" s="1"/>
  <c r="X346" i="2"/>
  <c r="M347" i="2" s="1"/>
  <c r="N347" i="2" l="1"/>
  <c r="O347" i="2" s="1"/>
  <c r="P347" i="2" l="1"/>
  <c r="Q347" i="2"/>
  <c r="R347" i="2" s="1"/>
  <c r="T347" i="2"/>
  <c r="I348" i="2" s="1"/>
  <c r="U347" i="2"/>
  <c r="J348" i="2" s="1"/>
  <c r="V347" i="2"/>
  <c r="K348" i="2" s="1"/>
  <c r="W347" i="2"/>
  <c r="L348" i="2" s="1"/>
  <c r="X347" i="2"/>
  <c r="M348" i="2" s="1"/>
  <c r="N348" i="2" l="1"/>
  <c r="O348" i="2" s="1"/>
  <c r="P348" i="2" l="1"/>
  <c r="Q348" i="2"/>
  <c r="R348" i="2" s="1"/>
  <c r="T348" i="2"/>
  <c r="I349" i="2" s="1"/>
  <c r="U348" i="2"/>
  <c r="J349" i="2" s="1"/>
  <c r="V348" i="2"/>
  <c r="K349" i="2" s="1"/>
  <c r="W348" i="2"/>
  <c r="L349" i="2" s="1"/>
  <c r="X348" i="2"/>
  <c r="M349" i="2" s="1"/>
  <c r="N349" i="2" l="1"/>
  <c r="O349" i="2" s="1"/>
  <c r="P349" i="2" l="1"/>
  <c r="Q349" i="2"/>
  <c r="R349" i="2" s="1"/>
  <c r="T349" i="2"/>
  <c r="I350" i="2" s="1"/>
  <c r="U349" i="2"/>
  <c r="J350" i="2" s="1"/>
  <c r="V349" i="2"/>
  <c r="K350" i="2" s="1"/>
  <c r="W349" i="2"/>
  <c r="L350" i="2" s="1"/>
  <c r="X349" i="2"/>
  <c r="M350" i="2" s="1"/>
  <c r="N350" i="2" l="1"/>
  <c r="O350" i="2" s="1"/>
  <c r="P350" i="2" l="1"/>
  <c r="Q350" i="2"/>
  <c r="R350" i="2" s="1"/>
  <c r="T350" i="2"/>
  <c r="I351" i="2" s="1"/>
  <c r="U350" i="2"/>
  <c r="J351" i="2" s="1"/>
  <c r="V350" i="2"/>
  <c r="K351" i="2" s="1"/>
  <c r="W350" i="2"/>
  <c r="L351" i="2" s="1"/>
  <c r="X350" i="2"/>
  <c r="M351" i="2" s="1"/>
  <c r="N351" i="2" l="1"/>
  <c r="O351" i="2" s="1"/>
  <c r="P351" i="2" l="1"/>
  <c r="Q351" i="2"/>
  <c r="R351" i="2" s="1"/>
  <c r="T351" i="2"/>
  <c r="I352" i="2" s="1"/>
  <c r="U351" i="2"/>
  <c r="J352" i="2" s="1"/>
  <c r="V351" i="2"/>
  <c r="K352" i="2" s="1"/>
  <c r="W351" i="2"/>
  <c r="L352" i="2" s="1"/>
  <c r="X351" i="2"/>
  <c r="M352" i="2" s="1"/>
  <c r="N352" i="2" l="1"/>
  <c r="O352" i="2" s="1"/>
  <c r="P352" i="2" l="1"/>
  <c r="Q352" i="2"/>
  <c r="R352" i="2" s="1"/>
  <c r="T352" i="2"/>
  <c r="I353" i="2" s="1"/>
  <c r="U352" i="2"/>
  <c r="J353" i="2" s="1"/>
  <c r="V352" i="2"/>
  <c r="K353" i="2" s="1"/>
  <c r="W352" i="2"/>
  <c r="L353" i="2" s="1"/>
  <c r="X352" i="2"/>
  <c r="M353" i="2" s="1"/>
  <c r="N353" i="2" l="1"/>
  <c r="O353" i="2" s="1"/>
  <c r="P353" i="2" l="1"/>
  <c r="Q353" i="2"/>
  <c r="R353" i="2" s="1"/>
  <c r="T353" i="2"/>
  <c r="I354" i="2" s="1"/>
  <c r="U353" i="2"/>
  <c r="J354" i="2" s="1"/>
  <c r="V353" i="2"/>
  <c r="K354" i="2" s="1"/>
  <c r="W353" i="2"/>
  <c r="L354" i="2" s="1"/>
  <c r="X353" i="2"/>
  <c r="M354" i="2" s="1"/>
  <c r="N354" i="2" l="1"/>
  <c r="O354" i="2" s="1"/>
  <c r="P354" i="2" l="1"/>
  <c r="Q354" i="2"/>
  <c r="R354" i="2" s="1"/>
  <c r="T354" i="2"/>
  <c r="I355" i="2" s="1"/>
  <c r="U354" i="2"/>
  <c r="J355" i="2" s="1"/>
  <c r="V354" i="2"/>
  <c r="K355" i="2" s="1"/>
  <c r="W354" i="2"/>
  <c r="L355" i="2" s="1"/>
  <c r="X354" i="2"/>
  <c r="M355" i="2" s="1"/>
  <c r="N355" i="2" l="1"/>
  <c r="O355" i="2" s="1"/>
  <c r="P355" i="2" l="1"/>
  <c r="Q355" i="2"/>
  <c r="R355" i="2" s="1"/>
  <c r="T355" i="2"/>
  <c r="I356" i="2" s="1"/>
  <c r="U355" i="2"/>
  <c r="J356" i="2" s="1"/>
  <c r="V355" i="2"/>
  <c r="K356" i="2" s="1"/>
  <c r="W355" i="2"/>
  <c r="L356" i="2" s="1"/>
  <c r="X355" i="2"/>
  <c r="M356" i="2" s="1"/>
  <c r="N356" i="2" l="1"/>
  <c r="O356" i="2" s="1"/>
  <c r="P356" i="2" l="1"/>
  <c r="Q356" i="2"/>
  <c r="R356" i="2" s="1"/>
  <c r="T356" i="2"/>
  <c r="I357" i="2" s="1"/>
  <c r="U356" i="2"/>
  <c r="J357" i="2" s="1"/>
  <c r="V356" i="2"/>
  <c r="K357" i="2" s="1"/>
  <c r="W356" i="2"/>
  <c r="L357" i="2" s="1"/>
  <c r="X356" i="2"/>
  <c r="M357" i="2" s="1"/>
  <c r="N357" i="2" l="1"/>
  <c r="O357" i="2" s="1"/>
  <c r="P357" i="2" l="1"/>
  <c r="Q357" i="2"/>
  <c r="R357" i="2" s="1"/>
  <c r="T357" i="2"/>
  <c r="I358" i="2" s="1"/>
  <c r="U357" i="2"/>
  <c r="J358" i="2" s="1"/>
  <c r="V357" i="2"/>
  <c r="K358" i="2" s="1"/>
  <c r="W357" i="2"/>
  <c r="L358" i="2" s="1"/>
  <c r="X357" i="2"/>
  <c r="M358" i="2" s="1"/>
  <c r="N358" i="2" l="1"/>
  <c r="O358" i="2" s="1"/>
  <c r="P358" i="2" l="1"/>
  <c r="Q358" i="2"/>
  <c r="R358" i="2" s="1"/>
  <c r="T358" i="2"/>
  <c r="I359" i="2" s="1"/>
  <c r="U358" i="2"/>
  <c r="J359" i="2" s="1"/>
  <c r="V358" i="2"/>
  <c r="K359" i="2" s="1"/>
  <c r="W358" i="2"/>
  <c r="L359" i="2" s="1"/>
  <c r="X358" i="2"/>
  <c r="M359" i="2" s="1"/>
  <c r="N359" i="2" l="1"/>
  <c r="O359" i="2" s="1"/>
  <c r="P359" i="2" l="1"/>
  <c r="Q359" i="2"/>
  <c r="R359" i="2" s="1"/>
  <c r="T359" i="2"/>
  <c r="I360" i="2" s="1"/>
  <c r="U359" i="2"/>
  <c r="J360" i="2" s="1"/>
  <c r="V359" i="2"/>
  <c r="K360" i="2" s="1"/>
  <c r="W359" i="2"/>
  <c r="L360" i="2" s="1"/>
  <c r="X359" i="2"/>
  <c r="M360" i="2" s="1"/>
  <c r="N360" i="2" l="1"/>
  <c r="O360" i="2" s="1"/>
  <c r="P360" i="2" l="1"/>
  <c r="Q360" i="2"/>
  <c r="R360" i="2" s="1"/>
  <c r="T360" i="2"/>
  <c r="I361" i="2" s="1"/>
  <c r="U360" i="2"/>
  <c r="J361" i="2" s="1"/>
  <c r="V360" i="2"/>
  <c r="K361" i="2" s="1"/>
  <c r="W360" i="2"/>
  <c r="L361" i="2" s="1"/>
  <c r="X360" i="2"/>
  <c r="M361" i="2" s="1"/>
  <c r="N361" i="2" l="1"/>
  <c r="O361" i="2" s="1"/>
  <c r="P361" i="2" l="1"/>
  <c r="Q361" i="2"/>
  <c r="R361" i="2" s="1"/>
  <c r="T361" i="2"/>
  <c r="I362" i="2" s="1"/>
  <c r="U361" i="2"/>
  <c r="J362" i="2" s="1"/>
  <c r="V361" i="2"/>
  <c r="K362" i="2" s="1"/>
  <c r="W361" i="2"/>
  <c r="L362" i="2" s="1"/>
  <c r="X361" i="2"/>
  <c r="M362" i="2" s="1"/>
  <c r="N362" i="2" l="1"/>
  <c r="O362" i="2" s="1"/>
  <c r="P362" i="2" l="1"/>
  <c r="Q362" i="2"/>
  <c r="R362" i="2" s="1"/>
  <c r="T362" i="2"/>
  <c r="I363" i="2" s="1"/>
  <c r="U362" i="2"/>
  <c r="J363" i="2" s="1"/>
  <c r="V362" i="2"/>
  <c r="K363" i="2" s="1"/>
  <c r="W362" i="2"/>
  <c r="L363" i="2" s="1"/>
  <c r="X362" i="2"/>
  <c r="M363" i="2" s="1"/>
  <c r="N363" i="2" l="1"/>
  <c r="O363" i="2" s="1"/>
  <c r="P363" i="2" l="1"/>
  <c r="Q363" i="2"/>
  <c r="R363" i="2" s="1"/>
  <c r="T363" i="2"/>
  <c r="I364" i="2" s="1"/>
  <c r="U363" i="2"/>
  <c r="J364" i="2" s="1"/>
  <c r="V363" i="2"/>
  <c r="K364" i="2" s="1"/>
  <c r="W363" i="2"/>
  <c r="L364" i="2" s="1"/>
  <c r="X363" i="2"/>
  <c r="M364" i="2" s="1"/>
  <c r="N364" i="2" l="1"/>
  <c r="O364" i="2" s="1"/>
  <c r="P364" i="2" l="1"/>
  <c r="Q364" i="2"/>
  <c r="R364" i="2" s="1"/>
  <c r="T364" i="2"/>
  <c r="I365" i="2" s="1"/>
  <c r="U364" i="2"/>
  <c r="J365" i="2" s="1"/>
  <c r="V364" i="2"/>
  <c r="K365" i="2" s="1"/>
  <c r="W364" i="2"/>
  <c r="L365" i="2" s="1"/>
  <c r="X364" i="2"/>
  <c r="M365" i="2" s="1"/>
  <c r="N365" i="2" l="1"/>
  <c r="O365" i="2" s="1"/>
  <c r="P365" i="2" l="1"/>
  <c r="Q365" i="2"/>
  <c r="R365" i="2" s="1"/>
  <c r="T365" i="2"/>
  <c r="I366" i="2" s="1"/>
  <c r="U365" i="2"/>
  <c r="J366" i="2" s="1"/>
  <c r="V365" i="2"/>
  <c r="K366" i="2" s="1"/>
  <c r="W365" i="2"/>
  <c r="L366" i="2" s="1"/>
  <c r="X365" i="2"/>
  <c r="M366" i="2" s="1"/>
  <c r="N366" i="2" l="1"/>
  <c r="O366" i="2" s="1"/>
  <c r="P366" i="2" l="1"/>
  <c r="Q366" i="2"/>
  <c r="R366" i="2" s="1"/>
  <c r="T366" i="2"/>
  <c r="I367" i="2" s="1"/>
  <c r="U366" i="2"/>
  <c r="J367" i="2" s="1"/>
  <c r="V366" i="2"/>
  <c r="K367" i="2" s="1"/>
  <c r="W366" i="2"/>
  <c r="L367" i="2" s="1"/>
  <c r="X366" i="2"/>
  <c r="M367" i="2" s="1"/>
  <c r="N367" i="2" l="1"/>
  <c r="O367" i="2" s="1"/>
  <c r="P367" i="2" l="1"/>
  <c r="Q367" i="2"/>
  <c r="R367" i="2" s="1"/>
  <c r="T367" i="2"/>
  <c r="I368" i="2" s="1"/>
  <c r="U367" i="2"/>
  <c r="J368" i="2" s="1"/>
  <c r="V367" i="2"/>
  <c r="K368" i="2" s="1"/>
  <c r="W367" i="2"/>
  <c r="L368" i="2" s="1"/>
  <c r="X367" i="2"/>
  <c r="M368" i="2" s="1"/>
  <c r="N368" i="2" l="1"/>
  <c r="O368" i="2" s="1"/>
  <c r="P368" i="2" l="1"/>
  <c r="Q368" i="2"/>
  <c r="R368" i="2" s="1"/>
  <c r="T368" i="2"/>
  <c r="I369" i="2" s="1"/>
  <c r="U368" i="2"/>
  <c r="J369" i="2" s="1"/>
  <c r="V368" i="2"/>
  <c r="K369" i="2" s="1"/>
  <c r="W368" i="2"/>
  <c r="L369" i="2" s="1"/>
  <c r="X368" i="2"/>
  <c r="M369" i="2" s="1"/>
  <c r="N369" i="2" l="1"/>
  <c r="O369" i="2" s="1"/>
  <c r="P369" i="2" l="1"/>
  <c r="Q369" i="2"/>
  <c r="R369" i="2" s="1"/>
  <c r="T369" i="2"/>
  <c r="I370" i="2" s="1"/>
  <c r="U369" i="2"/>
  <c r="J370" i="2" s="1"/>
  <c r="V369" i="2"/>
  <c r="K370" i="2" s="1"/>
  <c r="W369" i="2"/>
  <c r="L370" i="2" s="1"/>
  <c r="X369" i="2"/>
  <c r="M370" i="2" s="1"/>
  <c r="N370" i="2" l="1"/>
  <c r="O370" i="2" s="1"/>
  <c r="P370" i="2" l="1"/>
  <c r="Q370" i="2"/>
  <c r="R370" i="2" s="1"/>
  <c r="T370" i="2"/>
  <c r="I371" i="2" s="1"/>
  <c r="U370" i="2"/>
  <c r="J371" i="2" s="1"/>
  <c r="V370" i="2"/>
  <c r="K371" i="2" s="1"/>
  <c r="W370" i="2"/>
  <c r="L371" i="2" s="1"/>
  <c r="X370" i="2"/>
  <c r="M371" i="2" s="1"/>
  <c r="N371" i="2" l="1"/>
  <c r="O371" i="2" s="1"/>
  <c r="P371" i="2" l="1"/>
  <c r="Q371" i="2"/>
  <c r="R371" i="2" s="1"/>
  <c r="T371" i="2"/>
  <c r="I372" i="2" s="1"/>
  <c r="U371" i="2"/>
  <c r="J372" i="2" s="1"/>
  <c r="V371" i="2"/>
  <c r="K372" i="2" s="1"/>
  <c r="W371" i="2"/>
  <c r="L372" i="2" s="1"/>
  <c r="X371" i="2"/>
  <c r="M372" i="2" s="1"/>
  <c r="N372" i="2" l="1"/>
  <c r="O372" i="2" s="1"/>
  <c r="P372" i="2" l="1"/>
  <c r="Q372" i="2"/>
  <c r="R372" i="2" s="1"/>
  <c r="T372" i="2"/>
  <c r="I373" i="2" s="1"/>
  <c r="U372" i="2"/>
  <c r="J373" i="2" s="1"/>
  <c r="V372" i="2"/>
  <c r="K373" i="2" s="1"/>
  <c r="W372" i="2"/>
  <c r="L373" i="2" s="1"/>
  <c r="X372" i="2"/>
  <c r="M373" i="2" s="1"/>
  <c r="N373" i="2" l="1"/>
  <c r="O373" i="2" s="1"/>
  <c r="P373" i="2" l="1"/>
  <c r="Q373" i="2"/>
  <c r="R373" i="2" s="1"/>
  <c r="T373" i="2"/>
  <c r="I374" i="2" s="1"/>
  <c r="U373" i="2"/>
  <c r="J374" i="2" s="1"/>
  <c r="V373" i="2"/>
  <c r="K374" i="2" s="1"/>
  <c r="W373" i="2"/>
  <c r="L374" i="2" s="1"/>
  <c r="X373" i="2"/>
  <c r="M374" i="2" s="1"/>
  <c r="N374" i="2" l="1"/>
  <c r="O374" i="2" s="1"/>
  <c r="P374" i="2" l="1"/>
  <c r="Q374" i="2"/>
  <c r="R374" i="2" s="1"/>
  <c r="T374" i="2"/>
  <c r="I375" i="2" s="1"/>
  <c r="U374" i="2"/>
  <c r="J375" i="2" s="1"/>
  <c r="V374" i="2"/>
  <c r="K375" i="2" s="1"/>
  <c r="W374" i="2"/>
  <c r="L375" i="2" s="1"/>
  <c r="X374" i="2"/>
  <c r="M375" i="2" s="1"/>
  <c r="N375" i="2" l="1"/>
  <c r="O375" i="2" s="1"/>
  <c r="P375" i="2" l="1"/>
  <c r="Q375" i="2"/>
  <c r="R375" i="2" s="1"/>
  <c r="T375" i="2"/>
  <c r="I376" i="2" s="1"/>
  <c r="U375" i="2"/>
  <c r="J376" i="2" s="1"/>
  <c r="V375" i="2"/>
  <c r="K376" i="2" s="1"/>
  <c r="W375" i="2"/>
  <c r="L376" i="2" s="1"/>
  <c r="X375" i="2"/>
  <c r="M376" i="2" s="1"/>
  <c r="N376" i="2" l="1"/>
  <c r="O376" i="2" s="1"/>
  <c r="P376" i="2" l="1"/>
  <c r="Q376" i="2"/>
  <c r="R376" i="2" s="1"/>
  <c r="T376" i="2"/>
  <c r="I377" i="2" s="1"/>
  <c r="U376" i="2"/>
  <c r="J377" i="2" s="1"/>
  <c r="V376" i="2"/>
  <c r="K377" i="2" s="1"/>
  <c r="W376" i="2"/>
  <c r="L377" i="2" s="1"/>
  <c r="X376" i="2"/>
  <c r="M377" i="2" s="1"/>
  <c r="N377" i="2" l="1"/>
  <c r="O377" i="2" s="1"/>
  <c r="P377" i="2" l="1"/>
  <c r="Q377" i="2"/>
  <c r="R377" i="2" s="1"/>
  <c r="T377" i="2"/>
  <c r="I378" i="2" s="1"/>
  <c r="U377" i="2"/>
  <c r="J378" i="2" s="1"/>
  <c r="V377" i="2"/>
  <c r="K378" i="2" s="1"/>
  <c r="W377" i="2"/>
  <c r="L378" i="2" s="1"/>
  <c r="X377" i="2"/>
  <c r="M378" i="2" s="1"/>
  <c r="N378" i="2" l="1"/>
  <c r="O378" i="2" s="1"/>
  <c r="P378" i="2" l="1"/>
  <c r="Q378" i="2"/>
  <c r="R378" i="2" s="1"/>
  <c r="T378" i="2"/>
  <c r="I379" i="2" s="1"/>
  <c r="U378" i="2"/>
  <c r="J379" i="2" s="1"/>
  <c r="V378" i="2"/>
  <c r="K379" i="2" s="1"/>
  <c r="W378" i="2"/>
  <c r="L379" i="2" s="1"/>
  <c r="X378" i="2"/>
  <c r="M379" i="2" s="1"/>
  <c r="N379" i="2" l="1"/>
  <c r="O379" i="2" s="1"/>
  <c r="P379" i="2" l="1"/>
  <c r="Q379" i="2"/>
  <c r="R379" i="2" s="1"/>
  <c r="T379" i="2"/>
  <c r="I380" i="2" s="1"/>
  <c r="U379" i="2"/>
  <c r="J380" i="2" s="1"/>
  <c r="V379" i="2"/>
  <c r="K380" i="2" s="1"/>
  <c r="W379" i="2"/>
  <c r="L380" i="2" s="1"/>
  <c r="X379" i="2"/>
  <c r="M380" i="2" s="1"/>
  <c r="N380" i="2" l="1"/>
  <c r="O380" i="2" s="1"/>
  <c r="Q380" i="2" l="1"/>
  <c r="R380" i="2" s="1"/>
  <c r="T380" i="2"/>
  <c r="I381" i="2" s="1"/>
  <c r="U380" i="2"/>
  <c r="J381" i="2" s="1"/>
  <c r="W380" i="2"/>
  <c r="L381" i="2" s="1"/>
  <c r="X380" i="2"/>
  <c r="M381" i="2" s="1"/>
  <c r="V380" i="2"/>
  <c r="K381" i="2" s="1"/>
  <c r="P380" i="2"/>
  <c r="N381" i="2" l="1"/>
  <c r="O381" i="2" s="1"/>
  <c r="T381" i="2" l="1"/>
  <c r="I382" i="2" s="1"/>
  <c r="Q381" i="2"/>
  <c r="R381" i="2" s="1"/>
  <c r="W381" i="2"/>
  <c r="L382" i="2" s="1"/>
  <c r="V381" i="2"/>
  <c r="K382" i="2" s="1"/>
  <c r="P381" i="2"/>
  <c r="U381" i="2"/>
  <c r="J382" i="2" s="1"/>
  <c r="X381" i="2"/>
  <c r="M382" i="2" s="1"/>
  <c r="N382" i="2" l="1"/>
  <c r="O382" i="2" s="1"/>
  <c r="X382" i="2" l="1"/>
  <c r="M383" i="2" s="1"/>
  <c r="V382" i="2"/>
  <c r="K383" i="2" s="1"/>
  <c r="Q382" i="2"/>
  <c r="R382" i="2" s="1"/>
  <c r="T382" i="2"/>
  <c r="I383" i="2" s="1"/>
  <c r="W382" i="2"/>
  <c r="L383" i="2" s="1"/>
  <c r="P382" i="2"/>
  <c r="U382" i="2"/>
  <c r="J383" i="2" s="1"/>
  <c r="N383" i="2" l="1"/>
  <c r="O383" i="2" s="1"/>
  <c r="Q383" i="2" l="1"/>
  <c r="R383" i="2" s="1"/>
  <c r="T383" i="2"/>
  <c r="I384" i="2" s="1"/>
  <c r="U383" i="2"/>
  <c r="J384" i="2" s="1"/>
  <c r="X383" i="2"/>
  <c r="M384" i="2" s="1"/>
  <c r="V383" i="2"/>
  <c r="K384" i="2" s="1"/>
  <c r="W383" i="2"/>
  <c r="L384" i="2" s="1"/>
  <c r="P383" i="2"/>
  <c r="N384" i="2" l="1"/>
  <c r="O384" i="2" s="1"/>
  <c r="V384" i="2" s="1"/>
  <c r="K385" i="2" s="1"/>
  <c r="W384" i="2" l="1"/>
  <c r="L385" i="2" s="1"/>
  <c r="T384" i="2"/>
  <c r="I385" i="2" s="1"/>
  <c r="U384" i="2"/>
  <c r="J385" i="2" s="1"/>
  <c r="P384" i="2"/>
  <c r="X384" i="2"/>
  <c r="M385" i="2" s="1"/>
  <c r="Q384" i="2"/>
  <c r="R384" i="2" s="1"/>
  <c r="N385" i="2" l="1"/>
  <c r="O385" i="2" s="1"/>
  <c r="U385" i="2" l="1"/>
  <c r="J386" i="2" s="1"/>
  <c r="N386" i="2" s="1"/>
  <c r="O386" i="2" s="1"/>
  <c r="P385" i="2"/>
  <c r="Q385" i="2"/>
  <c r="R385" i="2" s="1"/>
  <c r="V385" i="2"/>
  <c r="K386" i="2" s="1"/>
  <c r="T385" i="2"/>
  <c r="I386" i="2" s="1"/>
  <c r="W385" i="2"/>
  <c r="L386" i="2" s="1"/>
  <c r="X385" i="2"/>
  <c r="M386" i="2" s="1"/>
  <c r="P386" i="2" l="1"/>
  <c r="U386" i="2"/>
  <c r="J387" i="2" s="1"/>
  <c r="W386" i="2"/>
  <c r="L387" i="2" s="1"/>
  <c r="Q386" i="2"/>
  <c r="R386" i="2" s="1"/>
  <c r="X386" i="2"/>
  <c r="M387" i="2" s="1"/>
  <c r="T386" i="2"/>
  <c r="I387" i="2" s="1"/>
  <c r="V386" i="2"/>
  <c r="K387" i="2" s="1"/>
  <c r="N387" i="2" l="1"/>
  <c r="O387" i="2" s="1"/>
  <c r="V387" i="2" l="1"/>
  <c r="K388" i="2" s="1"/>
  <c r="P387" i="2"/>
  <c r="T387" i="2"/>
  <c r="I388" i="2" s="1"/>
  <c r="W387" i="2"/>
  <c r="L388" i="2" s="1"/>
  <c r="X387" i="2"/>
  <c r="M388" i="2" s="1"/>
  <c r="U387" i="2"/>
  <c r="J388" i="2" s="1"/>
  <c r="Q387" i="2"/>
  <c r="R387" i="2" s="1"/>
  <c r="N388" i="2" l="1"/>
  <c r="O388" i="2" s="1"/>
  <c r="V388" i="2" l="1"/>
  <c r="K389" i="2" s="1"/>
  <c r="Q388" i="2"/>
  <c r="R388" i="2" s="1"/>
  <c r="W388" i="2"/>
  <c r="L389" i="2" s="1"/>
  <c r="T388" i="2"/>
  <c r="I389" i="2" s="1"/>
  <c r="P388" i="2"/>
  <c r="U388" i="2"/>
  <c r="J389" i="2" s="1"/>
  <c r="X388" i="2"/>
  <c r="M389" i="2" s="1"/>
  <c r="N389" i="2" l="1"/>
  <c r="O389" i="2" s="1"/>
  <c r="U389" i="2" l="1"/>
  <c r="J390" i="2" s="1"/>
  <c r="Q389" i="2"/>
  <c r="R389" i="2" s="1"/>
  <c r="V389" i="2"/>
  <c r="K390" i="2" s="1"/>
  <c r="P389" i="2"/>
  <c r="W389" i="2"/>
  <c r="L390" i="2" s="1"/>
  <c r="X389" i="2"/>
  <c r="M390" i="2" s="1"/>
  <c r="T389" i="2"/>
  <c r="I390" i="2" s="1"/>
  <c r="N390" i="2" l="1"/>
  <c r="O390" i="2" s="1"/>
  <c r="X390" i="2" l="1"/>
  <c r="M391" i="2" s="1"/>
  <c r="U390" i="2"/>
  <c r="J391" i="2" s="1"/>
  <c r="W390" i="2"/>
  <c r="L391" i="2" s="1"/>
  <c r="P390" i="2"/>
  <c r="Q390" i="2"/>
  <c r="R390" i="2" s="1"/>
  <c r="V390" i="2"/>
  <c r="K391" i="2" s="1"/>
  <c r="T390" i="2"/>
  <c r="I391" i="2" s="1"/>
  <c r="N391" i="2" l="1"/>
  <c r="O391" i="2" s="1"/>
  <c r="X391" i="2" l="1"/>
  <c r="M392" i="2" s="1"/>
  <c r="V391" i="2"/>
  <c r="K392" i="2" s="1"/>
  <c r="T391" i="2"/>
  <c r="I392" i="2" s="1"/>
  <c r="W391" i="2"/>
  <c r="L392" i="2" s="1"/>
  <c r="U391" i="2"/>
  <c r="J392" i="2" s="1"/>
  <c r="Q391" i="2"/>
  <c r="R391" i="2" s="1"/>
  <c r="P391" i="2"/>
  <c r="N392" i="2" l="1"/>
  <c r="O392" i="2" s="1"/>
  <c r="U392" i="2" s="1"/>
  <c r="J393" i="2" s="1"/>
  <c r="P392" i="2" l="1"/>
  <c r="V392" i="2"/>
  <c r="K393" i="2" s="1"/>
  <c r="W392" i="2"/>
  <c r="L393" i="2" s="1"/>
  <c r="X392" i="2"/>
  <c r="M393" i="2" s="1"/>
  <c r="Q392" i="2"/>
  <c r="R392" i="2" s="1"/>
  <c r="T392" i="2"/>
  <c r="I393" i="2" s="1"/>
  <c r="N393" i="2" l="1"/>
  <c r="O393" i="2" s="1"/>
  <c r="X393" i="2" l="1"/>
  <c r="M394" i="2" s="1"/>
  <c r="N394" i="2" s="1"/>
  <c r="O394" i="2" s="1"/>
  <c r="P393" i="2"/>
  <c r="Q393" i="2"/>
  <c r="R393" i="2" s="1"/>
  <c r="W393" i="2"/>
  <c r="L394" i="2" s="1"/>
  <c r="V393" i="2"/>
  <c r="K394" i="2" s="1"/>
  <c r="U393" i="2"/>
  <c r="J394" i="2" s="1"/>
  <c r="T393" i="2"/>
  <c r="I394" i="2" s="1"/>
  <c r="V394" i="2" l="1"/>
  <c r="K395" i="2" s="1"/>
  <c r="Q394" i="2"/>
  <c r="R394" i="2" s="1"/>
  <c r="P394" i="2"/>
  <c r="T394" i="2"/>
  <c r="I395" i="2" s="1"/>
  <c r="W394" i="2"/>
  <c r="L395" i="2" s="1"/>
  <c r="U394" i="2"/>
  <c r="J395" i="2" s="1"/>
  <c r="X394" i="2"/>
  <c r="M395" i="2" s="1"/>
  <c r="N395" i="2" l="1"/>
  <c r="O395" i="2" s="1"/>
  <c r="X395" i="2" l="1"/>
  <c r="M396" i="2" s="1"/>
  <c r="U395" i="2"/>
  <c r="J396" i="2" s="1"/>
  <c r="Q395" i="2"/>
  <c r="R395" i="2" s="1"/>
  <c r="V395" i="2"/>
  <c r="K396" i="2" s="1"/>
  <c r="P395" i="2"/>
  <c r="W395" i="2"/>
  <c r="L396" i="2" s="1"/>
  <c r="T395" i="2"/>
  <c r="I396" i="2" s="1"/>
  <c r="N396" i="2" l="1"/>
  <c r="O396" i="2" s="1"/>
  <c r="Q396" i="2" l="1"/>
  <c r="R396" i="2" s="1"/>
  <c r="V396" i="2"/>
  <c r="K397" i="2" s="1"/>
  <c r="W396" i="2"/>
  <c r="L397" i="2" s="1"/>
  <c r="T396" i="2"/>
  <c r="I397" i="2" s="1"/>
  <c r="X396" i="2"/>
  <c r="M397" i="2" s="1"/>
  <c r="U396" i="2"/>
  <c r="J397" i="2" s="1"/>
  <c r="P396" i="2"/>
  <c r="N397" i="2" l="1"/>
  <c r="O397" i="2" s="1"/>
  <c r="T397" i="2" s="1"/>
  <c r="I398" i="2" s="1"/>
  <c r="P397" i="2" l="1"/>
  <c r="U397" i="2"/>
  <c r="J398" i="2" s="1"/>
  <c r="Q397" i="2"/>
  <c r="R397" i="2" s="1"/>
  <c r="W397" i="2"/>
  <c r="L398" i="2" s="1"/>
  <c r="V397" i="2"/>
  <c r="K398" i="2" s="1"/>
  <c r="X397" i="2"/>
  <c r="M398" i="2" s="1"/>
  <c r="N398" i="2" l="1"/>
  <c r="O398" i="2" s="1"/>
  <c r="U398" i="2" l="1"/>
  <c r="J399" i="2" s="1"/>
  <c r="N399" i="2" s="1"/>
  <c r="O399" i="2" s="1"/>
  <c r="T398" i="2"/>
  <c r="I399" i="2" s="1"/>
  <c r="W398" i="2"/>
  <c r="L399" i="2" s="1"/>
  <c r="P398" i="2"/>
  <c r="V398" i="2"/>
  <c r="K399" i="2" s="1"/>
  <c r="Q398" i="2"/>
  <c r="R398" i="2" s="1"/>
  <c r="X398" i="2"/>
  <c r="M399" i="2" s="1"/>
  <c r="Q399" i="2" l="1"/>
  <c r="R399" i="2" s="1"/>
  <c r="W399" i="2"/>
  <c r="L400" i="2" s="1"/>
  <c r="T399" i="2"/>
  <c r="I400" i="2" s="1"/>
  <c r="P399" i="2"/>
  <c r="X399" i="2"/>
  <c r="M400" i="2" s="1"/>
  <c r="V399" i="2"/>
  <c r="K400" i="2" s="1"/>
  <c r="U399" i="2"/>
  <c r="J400" i="2" s="1"/>
  <c r="N400" i="2" l="1"/>
  <c r="O400" i="2" s="1"/>
  <c r="U400" i="2" l="1"/>
  <c r="J401" i="2" s="1"/>
  <c r="Q400" i="2"/>
  <c r="R400" i="2" s="1"/>
  <c r="T400" i="2"/>
  <c r="I401" i="2" s="1"/>
  <c r="W400" i="2"/>
  <c r="L401" i="2" s="1"/>
  <c r="P400" i="2"/>
  <c r="X400" i="2"/>
  <c r="M401" i="2" s="1"/>
  <c r="V400" i="2"/>
  <c r="K401" i="2" s="1"/>
  <c r="N401" i="2" l="1"/>
  <c r="O401" i="2" s="1"/>
  <c r="X401" i="2" l="1"/>
  <c r="M402" i="2" s="1"/>
  <c r="U401" i="2"/>
  <c r="J402" i="2" s="1"/>
  <c r="T401" i="2"/>
  <c r="I402" i="2" s="1"/>
  <c r="Q401" i="2"/>
  <c r="R401" i="2" s="1"/>
  <c r="P401" i="2"/>
  <c r="W401" i="2"/>
  <c r="L402" i="2" s="1"/>
  <c r="V401" i="2"/>
  <c r="K402" i="2" s="1"/>
  <c r="N402" i="2" l="1"/>
  <c r="O402" i="2" s="1"/>
  <c r="P402" i="2" l="1"/>
  <c r="T402" i="2"/>
  <c r="I403" i="2" s="1"/>
  <c r="U402" i="2"/>
  <c r="J403" i="2" s="1"/>
  <c r="X402" i="2"/>
  <c r="M403" i="2" s="1"/>
  <c r="Q402" i="2"/>
  <c r="R402" i="2" s="1"/>
  <c r="V402" i="2"/>
  <c r="K403" i="2" s="1"/>
  <c r="W402" i="2"/>
  <c r="L403" i="2" s="1"/>
  <c r="N403" i="2" l="1"/>
  <c r="O403" i="2" s="1"/>
  <c r="P403" i="2" l="1"/>
  <c r="Q403" i="2"/>
  <c r="R403" i="2" s="1"/>
  <c r="T403" i="2"/>
  <c r="I404" i="2" s="1"/>
  <c r="V403" i="2"/>
  <c r="K404" i="2" s="1"/>
  <c r="X403" i="2"/>
  <c r="M404" i="2" s="1"/>
  <c r="U403" i="2"/>
  <c r="J404" i="2" s="1"/>
  <c r="W403" i="2"/>
  <c r="L404" i="2" s="1"/>
  <c r="N404" i="2" l="1"/>
  <c r="O404" i="2" s="1"/>
  <c r="U404" i="2" l="1"/>
  <c r="J87" i="3" s="1"/>
  <c r="T404" i="2"/>
  <c r="I87" i="3" s="1"/>
  <c r="V404" i="2"/>
  <c r="K87" i="3" s="1"/>
  <c r="Q404" i="2"/>
  <c r="R404" i="2" s="1"/>
  <c r="S404" i="2" s="1"/>
  <c r="AA8" i="2" s="1"/>
  <c r="X404" i="2"/>
  <c r="M87" i="3" s="1"/>
  <c r="P404" i="2"/>
  <c r="H404" i="2" s="1"/>
  <c r="AB8" i="2" s="1"/>
  <c r="W404" i="2"/>
  <c r="L87" i="3" s="1"/>
  <c r="N87" i="3" l="1"/>
  <c r="O87" i="3" s="1"/>
  <c r="X87" i="3" l="1"/>
  <c r="M88" i="3" s="1"/>
  <c r="W87" i="3"/>
  <c r="L88" i="3" s="1"/>
  <c r="T87" i="3"/>
  <c r="I88" i="3" s="1"/>
  <c r="V87" i="3"/>
  <c r="K88" i="3" s="1"/>
  <c r="Q87" i="3"/>
  <c r="R87" i="3" s="1"/>
  <c r="P87" i="3"/>
  <c r="U87" i="3"/>
  <c r="J88" i="3" s="1"/>
  <c r="N88" i="3" l="1"/>
  <c r="O88" i="3" s="1"/>
  <c r="Q88" i="3" l="1"/>
  <c r="R88" i="3" s="1"/>
  <c r="P88" i="3"/>
  <c r="T88" i="3"/>
  <c r="I89" i="3" s="1"/>
  <c r="W88" i="3"/>
  <c r="L89" i="3" s="1"/>
  <c r="X88" i="3"/>
  <c r="M89" i="3" s="1"/>
  <c r="V88" i="3"/>
  <c r="K89" i="3" s="1"/>
  <c r="U88" i="3"/>
  <c r="J89" i="3" s="1"/>
  <c r="N89" i="3" l="1"/>
  <c r="O89" i="3" s="1"/>
  <c r="Q89" i="3" l="1"/>
  <c r="R89" i="3" s="1"/>
  <c r="V89" i="3"/>
  <c r="K90" i="3" s="1"/>
  <c r="P89" i="3"/>
  <c r="T89" i="3"/>
  <c r="I90" i="3" s="1"/>
  <c r="U89" i="3"/>
  <c r="J90" i="3" s="1"/>
  <c r="W89" i="3"/>
  <c r="L90" i="3" s="1"/>
  <c r="X89" i="3"/>
  <c r="M90" i="3" s="1"/>
  <c r="N90" i="3" l="1"/>
  <c r="O90" i="3" s="1"/>
  <c r="Q90" i="3" l="1"/>
  <c r="R90" i="3" s="1"/>
  <c r="U90" i="3"/>
  <c r="J91" i="3" s="1"/>
  <c r="W90" i="3"/>
  <c r="L91" i="3" s="1"/>
  <c r="P90" i="3"/>
  <c r="T90" i="3"/>
  <c r="I91" i="3" s="1"/>
  <c r="V90" i="3"/>
  <c r="K91" i="3" s="1"/>
  <c r="X90" i="3"/>
  <c r="M91" i="3" s="1"/>
  <c r="N91" i="3" l="1"/>
  <c r="O91" i="3" s="1"/>
  <c r="V91" i="3" l="1"/>
  <c r="K92" i="3" s="1"/>
  <c r="T91" i="3"/>
  <c r="I92" i="3" s="1"/>
  <c r="P91" i="3"/>
  <c r="X91" i="3"/>
  <c r="M92" i="3" s="1"/>
  <c r="W91" i="3"/>
  <c r="L92" i="3" s="1"/>
  <c r="U91" i="3"/>
  <c r="J92" i="3" s="1"/>
  <c r="Q91" i="3"/>
  <c r="R91" i="3" s="1"/>
  <c r="N92" i="3" l="1"/>
  <c r="O92" i="3" s="1"/>
  <c r="T92" i="3" l="1"/>
  <c r="I93" i="3" s="1"/>
  <c r="P92" i="3"/>
  <c r="X92" i="3"/>
  <c r="M93" i="3" s="1"/>
  <c r="W92" i="3"/>
  <c r="L93" i="3" s="1"/>
  <c r="V92" i="3"/>
  <c r="K93" i="3" s="1"/>
  <c r="U92" i="3"/>
  <c r="J93" i="3" s="1"/>
  <c r="Q92" i="3"/>
  <c r="R92" i="3" s="1"/>
  <c r="N93" i="3" l="1"/>
  <c r="O93" i="3" s="1"/>
  <c r="U93" i="3" l="1"/>
  <c r="J94" i="3" s="1"/>
  <c r="W93" i="3"/>
  <c r="L94" i="3" s="1"/>
  <c r="P93" i="3"/>
  <c r="Q93" i="3"/>
  <c r="R93" i="3" s="1"/>
  <c r="T93" i="3"/>
  <c r="I94" i="3" s="1"/>
  <c r="V93" i="3"/>
  <c r="K94" i="3" s="1"/>
  <c r="X93" i="3"/>
  <c r="M94" i="3" s="1"/>
  <c r="N94" i="3" l="1"/>
  <c r="O94" i="3" s="1"/>
  <c r="X94" i="3" l="1"/>
  <c r="M95" i="3" s="1"/>
  <c r="W94" i="3"/>
  <c r="L95" i="3" s="1"/>
  <c r="T94" i="3"/>
  <c r="I95" i="3" s="1"/>
  <c r="Q94" i="3"/>
  <c r="R94" i="3" s="1"/>
  <c r="V94" i="3"/>
  <c r="K95" i="3" s="1"/>
  <c r="P94" i="3"/>
  <c r="U94" i="3"/>
  <c r="J95" i="3" s="1"/>
  <c r="N95" i="3" l="1"/>
  <c r="O95" i="3" s="1"/>
  <c r="X95" i="3" l="1"/>
  <c r="M96" i="3" s="1"/>
  <c r="W95" i="3"/>
  <c r="L96" i="3" s="1"/>
  <c r="V95" i="3"/>
  <c r="K96" i="3" s="1"/>
  <c r="U95" i="3"/>
  <c r="J96" i="3" s="1"/>
  <c r="T95" i="3"/>
  <c r="I96" i="3" s="1"/>
  <c r="Q95" i="3"/>
  <c r="R95" i="3" s="1"/>
  <c r="P95" i="3"/>
  <c r="N96" i="3" l="1"/>
  <c r="O96" i="3" s="1"/>
  <c r="P96" i="3" s="1"/>
  <c r="U96" i="3" l="1"/>
  <c r="J97" i="3" s="1"/>
  <c r="T96" i="3"/>
  <c r="I97" i="3" s="1"/>
  <c r="X96" i="3"/>
  <c r="M97" i="3" s="1"/>
  <c r="Q96" i="3"/>
  <c r="R96" i="3" s="1"/>
  <c r="V96" i="3"/>
  <c r="K97" i="3" s="1"/>
  <c r="W96" i="3"/>
  <c r="L97" i="3" s="1"/>
  <c r="N97" i="3" l="1"/>
  <c r="O97" i="3" s="1"/>
  <c r="U97" i="3" s="1"/>
  <c r="J98" i="3" s="1"/>
  <c r="V97" i="3" l="1"/>
  <c r="K98" i="3" s="1"/>
  <c r="X97" i="3"/>
  <c r="M98" i="3" s="1"/>
  <c r="W97" i="3"/>
  <c r="L98" i="3" s="1"/>
  <c r="T97" i="3"/>
  <c r="I98" i="3" s="1"/>
  <c r="P97" i="3"/>
  <c r="Q97" i="3"/>
  <c r="R97" i="3" s="1"/>
  <c r="N98" i="3" l="1"/>
  <c r="O98" i="3" s="1"/>
  <c r="W98" i="3" l="1"/>
  <c r="L99" i="3" s="1"/>
  <c r="X98" i="3"/>
  <c r="M99" i="3" s="1"/>
  <c r="V98" i="3"/>
  <c r="K99" i="3" s="1"/>
  <c r="U98" i="3"/>
  <c r="J99" i="3" s="1"/>
  <c r="P98" i="3"/>
  <c r="T98" i="3"/>
  <c r="I99" i="3" s="1"/>
  <c r="N99" i="3" s="1"/>
  <c r="O99" i="3" s="1"/>
  <c r="Q98" i="3"/>
  <c r="R98" i="3" s="1"/>
  <c r="X99" i="3" l="1"/>
  <c r="M100" i="3" s="1"/>
  <c r="W99" i="3"/>
  <c r="L100" i="3" s="1"/>
  <c r="V99" i="3"/>
  <c r="K100" i="3" s="1"/>
  <c r="Q99" i="3"/>
  <c r="R99" i="3" s="1"/>
  <c r="P99" i="3"/>
  <c r="U99" i="3"/>
  <c r="J100" i="3" s="1"/>
  <c r="T99" i="3"/>
  <c r="I100" i="3" s="1"/>
  <c r="N100" i="3" l="1"/>
  <c r="O100" i="3" s="1"/>
  <c r="Q100" i="3" l="1"/>
  <c r="R100" i="3" s="1"/>
  <c r="P100" i="3"/>
  <c r="T100" i="3"/>
  <c r="I101" i="3" s="1"/>
  <c r="V100" i="3"/>
  <c r="K101" i="3" s="1"/>
  <c r="W100" i="3"/>
  <c r="L101" i="3" s="1"/>
  <c r="U100" i="3"/>
  <c r="J101" i="3" s="1"/>
  <c r="X100" i="3"/>
  <c r="M101" i="3" s="1"/>
  <c r="N101" i="3" l="1"/>
  <c r="O101" i="3" s="1"/>
  <c r="P101" i="3" l="1"/>
  <c r="Q101" i="3"/>
  <c r="R101" i="3" s="1"/>
  <c r="T101" i="3"/>
  <c r="I102" i="3" s="1"/>
  <c r="U101" i="3"/>
  <c r="J102" i="3" s="1"/>
  <c r="V101" i="3"/>
  <c r="K102" i="3" s="1"/>
  <c r="W101" i="3"/>
  <c r="L102" i="3" s="1"/>
  <c r="X101" i="3"/>
  <c r="M102" i="3" s="1"/>
  <c r="N102" i="3" l="1"/>
  <c r="O102" i="3" s="1"/>
  <c r="X102" i="3" l="1"/>
  <c r="M103" i="3" s="1"/>
  <c r="P102" i="3"/>
  <c r="T102" i="3"/>
  <c r="I103" i="3" s="1"/>
  <c r="N103" i="3" s="1"/>
  <c r="O103" i="3" s="1"/>
  <c r="Q102" i="3"/>
  <c r="R102" i="3" s="1"/>
  <c r="U102" i="3"/>
  <c r="J103" i="3" s="1"/>
  <c r="W102" i="3"/>
  <c r="L103" i="3" s="1"/>
  <c r="V102" i="3"/>
  <c r="K103" i="3" s="1"/>
  <c r="T103" i="3" l="1"/>
  <c r="I104" i="3" s="1"/>
  <c r="W103" i="3"/>
  <c r="L104" i="3" s="1"/>
  <c r="X103" i="3"/>
  <c r="M104" i="3" s="1"/>
  <c r="U103" i="3"/>
  <c r="J104" i="3" s="1"/>
  <c r="Q103" i="3"/>
  <c r="R103" i="3" s="1"/>
  <c r="V103" i="3"/>
  <c r="K104" i="3" s="1"/>
  <c r="P103" i="3"/>
  <c r="N104" i="3" l="1"/>
  <c r="O104" i="3" s="1"/>
  <c r="U104" i="3" l="1"/>
  <c r="J105" i="3" s="1"/>
  <c r="W104" i="3"/>
  <c r="L105" i="3" s="1"/>
  <c r="X104" i="3"/>
  <c r="M105" i="3" s="1"/>
  <c r="P104" i="3"/>
  <c r="Q104" i="3"/>
  <c r="R104" i="3" s="1"/>
  <c r="T104" i="3"/>
  <c r="I105" i="3" s="1"/>
  <c r="V104" i="3"/>
  <c r="K105" i="3" s="1"/>
  <c r="N105" i="3" l="1"/>
  <c r="O105" i="3" s="1"/>
  <c r="V105" i="3" l="1"/>
  <c r="K106" i="3" s="1"/>
  <c r="U105" i="3"/>
  <c r="J106" i="3" s="1"/>
  <c r="T105" i="3"/>
  <c r="I106" i="3" s="1"/>
  <c r="P105" i="3"/>
  <c r="X105" i="3"/>
  <c r="M106" i="3" s="1"/>
  <c r="W105" i="3"/>
  <c r="L106" i="3" s="1"/>
  <c r="Q105" i="3"/>
  <c r="R105" i="3" s="1"/>
  <c r="N106" i="3" l="1"/>
  <c r="O106" i="3" s="1"/>
  <c r="Q106" i="3" l="1"/>
  <c r="R106" i="3" s="1"/>
  <c r="S106" i="3" s="1"/>
  <c r="T106" i="3"/>
  <c r="U106" i="3"/>
  <c r="V106" i="3"/>
  <c r="P106" i="3"/>
  <c r="H106" i="3" s="1"/>
  <c r="X106" i="3"/>
  <c r="W106" i="3"/>
</calcChain>
</file>

<file path=xl/sharedStrings.xml><?xml version="1.0" encoding="utf-8"?>
<sst xmlns="http://schemas.openxmlformats.org/spreadsheetml/2006/main" count="171" uniqueCount="45">
  <si>
    <t>Iris-setosa</t>
  </si>
  <si>
    <t>Iris-versicolor</t>
  </si>
  <si>
    <t>Setosa = 0</t>
  </si>
  <si>
    <t>Learning Rate</t>
  </si>
  <si>
    <t>Versicolor = 1</t>
  </si>
  <si>
    <t>Accuracy</t>
  </si>
  <si>
    <t>Bobot bias</t>
  </si>
  <si>
    <t>dot product</t>
  </si>
  <si>
    <t>Sigmoid</t>
  </si>
  <si>
    <t>Prediksi</t>
  </si>
  <si>
    <t>error</t>
  </si>
  <si>
    <t>Sum Square Error</t>
  </si>
  <si>
    <t>MSE (avg)</t>
  </si>
  <si>
    <t>Epoch</t>
  </si>
  <si>
    <t>MSE</t>
  </si>
  <si>
    <t>EPOCH</t>
  </si>
  <si>
    <t>No</t>
  </si>
  <si>
    <t>X1</t>
  </si>
  <si>
    <t>X2</t>
  </si>
  <si>
    <t>X3</t>
  </si>
  <si>
    <t>X4</t>
  </si>
  <si>
    <t>TARGET</t>
  </si>
  <si>
    <t>bias</t>
  </si>
  <si>
    <t>teta1</t>
  </si>
  <si>
    <t>teta2</t>
  </si>
  <si>
    <t>teta 3</t>
  </si>
  <si>
    <t>teta4</t>
  </si>
  <si>
    <t>z</t>
  </si>
  <si>
    <t>g(z)</t>
  </si>
  <si>
    <t>dbias</t>
  </si>
  <si>
    <t>dteta1</t>
  </si>
  <si>
    <t>dteta2</t>
  </si>
  <si>
    <t>dteta3</t>
  </si>
  <si>
    <t>dteta4</t>
  </si>
  <si>
    <t>epoch1</t>
  </si>
  <si>
    <t>epoch 2</t>
  </si>
  <si>
    <t>epoch 3</t>
  </si>
  <si>
    <t>epoch 4</t>
  </si>
  <si>
    <t>epoch 5</t>
  </si>
  <si>
    <t>in validation,  bias and teta are obtained from training for each epoch</t>
  </si>
  <si>
    <t>MSE(Val)</t>
  </si>
  <si>
    <t>MSE (Val)</t>
  </si>
  <si>
    <t>Accuracy (Val)</t>
  </si>
  <si>
    <t>MSE (Train)</t>
  </si>
  <si>
    <t>Accuracy (Train)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</si>
</sst>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</font>
    <font>
      <sz val="10"/>
      <color rgb="FF000000"/>
      <name val="arial"/>
      <charset val="1"/>
    </font>
    <font>
      <b/>
      <sz val="11"/>
      <color theme="1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C5E0B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FE599"/>
      </patternFill>
    </fill>
    <fill>
      <patternFill patternType="solid">
        <fgColor rgb="FFFFE598"/>
        <bgColor rgb="FFFFE599"/>
      </patternFill>
    </fill>
    <fill>
      <patternFill patternType="solid">
        <fgColor theme="7" tint="0.59999389629810485"/>
        <bgColor rgb="FFFFE599"/>
      </patternFill>
    </fill>
    <fill>
      <patternFill patternType="solid">
        <fgColor theme="7" tint="0.59999389629810485"/>
        <bgColor rgb="FFFFE59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4" borderId="19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0" fillId="0" borderId="1" xfId="0" applyBorder="1"/>
    <xf numFmtId="0" fontId="0" fillId="4" borderId="14" xfId="0" applyFill="1" applyBorder="1"/>
    <xf numFmtId="0" fontId="0" fillId="4" borderId="15" xfId="0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8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/>
    <xf numFmtId="0" fontId="0" fillId="4" borderId="18" xfId="0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0" fillId="7" borderId="14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0" fillId="6" borderId="17" xfId="0" applyFill="1" applyBorder="1"/>
    <xf numFmtId="0" fontId="0" fillId="6" borderId="1" xfId="0" applyFill="1" applyBorder="1"/>
    <xf numFmtId="0" fontId="0" fillId="6" borderId="8" xfId="0" applyFill="1" applyBorder="1"/>
    <xf numFmtId="0" fontId="0" fillId="6" borderId="8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7" borderId="17" xfId="0" applyFill="1" applyBorder="1"/>
    <xf numFmtId="0" fontId="2" fillId="6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/>
    <xf numFmtId="0" fontId="2" fillId="6" borderId="2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3"/>
      <rgbColor rgb="FFFFE598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Loss / Error (MSE) per Epoch 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'SLP-Training'!$AA$3</c:f>
              <c:strCache>
                <c:ptCount val="1"/>
                <c:pt idx="0">
                  <c:v>MSE (Train)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'SLP-Training'!$Z$4:$Z$8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'SLP-Training'!$AA$4:$AA$8</c:f>
              <c:numCache>
                <c:formatCode>General</c:formatCode>
                <c:ptCount val="5"/>
                <c:pt idx="0">
                  <c:v>0.12996490026568225</c:v>
                </c:pt>
                <c:pt idx="1">
                  <c:v>3.4548306492121227E-2</c:v>
                </c:pt>
                <c:pt idx="2">
                  <c:v>2.2989957133828679E-2</c:v>
                </c:pt>
                <c:pt idx="3">
                  <c:v>1.6535226737225964E-2</c:v>
                </c:pt>
                <c:pt idx="4">
                  <c:v>1.2222388106167001E-2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42-42B9-8922-A63E9F6A36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57174506"/>
        <c:axId val="81808180"/>
      </c:lineChart>
      <c:catAx>
        <c:axId val="57174506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8180"/>
        <c:crosses val="autoZero"/>
        <c:auto val="1"/>
        <c:lblAlgn val="ctr"/>
        <c:lblOffset val="100"/>
        <c:noMultiLvlLbl val="0"/>
      </c:catAx>
      <c:valAx>
        <c:axId val="818081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45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Accuracy per Epoch Train</a:t>
            </a:r>
          </a:p>
          <a:p>
            <a:pPr>
              <a:defRPr/>
            </a:pP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'SLP-Training'!$AB$3</c:f>
              <c:strCache>
                <c:ptCount val="1"/>
                <c:pt idx="0">
                  <c:v>Accuracy (Train)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'SLP-Training'!$Z$4:$Z$8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'SLP-Training'!$AB$4:$AB$8</c:f>
              <c:numCache>
                <c:formatCode>General</c:formatCode>
                <c:ptCount val="5"/>
                <c:pt idx="0">
                  <c:v>0.85</c:v>
                </c:pt>
                <c:pt idx="1">
                  <c:v>0.95</c:v>
                </c:pt>
                <c:pt idx="2">
                  <c:v>0.97499999999999998</c:v>
                </c:pt>
                <c:pt idx="3">
                  <c:v>0.97499999999999998</c:v>
                </c:pt>
                <c:pt idx="4">
                  <c:v>0.98750000000000004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A3-4A46-ADAB-5664ECED2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28335558"/>
        <c:axId val="65837467"/>
      </c:lineChart>
      <c:catAx>
        <c:axId val="28335558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7467"/>
        <c:crosses val="autoZero"/>
        <c:auto val="1"/>
        <c:lblAlgn val="ctr"/>
        <c:lblOffset val="100"/>
        <c:noMultiLvlLbl val="0"/>
      </c:catAx>
      <c:valAx>
        <c:axId val="658374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55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Loss / Error (MSE) per Epoch 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'SLP-Validation'!$AA$3</c:f>
              <c:strCache>
                <c:ptCount val="1"/>
                <c:pt idx="0">
                  <c:v>MSE (Val)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'SLP-Validation'!$Z$4:$Z$8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'SLP-Validation'!$AA$4:$AA$8</c:f>
              <c:numCache>
                <c:formatCode>General</c:formatCode>
                <c:ptCount val="5"/>
                <c:pt idx="0">
                  <c:v>9.0967615292804907E-2</c:v>
                </c:pt>
                <c:pt idx="1">
                  <c:v>6.0245071958491402E-2</c:v>
                </c:pt>
                <c:pt idx="2">
                  <c:v>4.2968768066169311E-2</c:v>
                </c:pt>
                <c:pt idx="3">
                  <c:v>3.291811854211453E-2</c:v>
                </c:pt>
                <c:pt idx="4">
                  <c:v>2.6561282710642602E-2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69-4A42-9025-A364394E68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57174506"/>
        <c:axId val="81808180"/>
      </c:lineChart>
      <c:catAx>
        <c:axId val="571745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8180"/>
        <c:crosses val="autoZero"/>
        <c:auto val="1"/>
        <c:lblAlgn val="ctr"/>
        <c:lblOffset val="100"/>
        <c:noMultiLvlLbl val="0"/>
      </c:catAx>
      <c:valAx>
        <c:axId val="818081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45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Accuracy per Epoch Val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'SLP-Validation'!$AB$3</c:f>
              <c:strCache>
                <c:ptCount val="1"/>
                <c:pt idx="0">
                  <c:v>Accuracy (Val)</c:v>
                </c:pt>
              </c:strCache>
            </c:strRef>
          </c:tx>
          <c:marker>
            <c:symbol val="none"/>
          </c:marker>
          <c:cat>
            <c:numRef>
              <c:f>'SLP-Validation'!$Z$4:$Z$8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'SLP-Validation'!$AB$4:$AB$8</c:f>
              <c:numCache>
                <c:formatCode>General</c:formatCode>
                <c:ptCount val="5"/>
                <c:pt idx="0">
                  <c:v>0.85</c:v>
                </c:pt>
                <c:pt idx="1">
                  <c:v>0.95</c:v>
                </c:pt>
                <c:pt idx="2">
                  <c:v>0.95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0B-4B38-8AAF-FE74ACDEB12A}"/>
            </c:ext>
          </c:extLst>
        </c:ser>
        <c:ser>
          <c:idx val="0"/>
          <c:order val="1"/>
          <c:tx>
            <c:strRef>
              <c:f>'SLP-Validation'!$AB$3</c:f>
              <c:strCache>
                <c:ptCount val="1"/>
                <c:pt idx="0">
                  <c:v>Accuracy (Val)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'SLP-Validation'!$Z$4:$Z$8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'SLP-Validation'!$AB$4:$AB$8</c:f>
              <c:numCache>
                <c:formatCode>General</c:formatCode>
                <c:ptCount val="5"/>
                <c:pt idx="0">
                  <c:v>0.85</c:v>
                </c:pt>
                <c:pt idx="1">
                  <c:v>0.95</c:v>
                </c:pt>
                <c:pt idx="2">
                  <c:v>0.95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D0B-4B38-8AAF-FE74ACDEB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28335558"/>
        <c:axId val="65837467"/>
      </c:lineChart>
      <c:catAx>
        <c:axId val="2833555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7467"/>
        <c:crosses val="autoZero"/>
        <c:auto val="1"/>
        <c:lblAlgn val="ctr"/>
        <c:lblOffset val="100"/>
        <c:noMultiLvlLbl val="0"/>
      </c:catAx>
      <c:valAx>
        <c:axId val="658374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55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Loss / Error (MSE) per Epoch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'SLP-Validation'!$AA$3</c:f>
              <c:strCache>
                <c:ptCount val="1"/>
                <c:pt idx="0">
                  <c:v>MSE (Val)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'SLP-Validation'!$Z$4:$Z$8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'SLP-Validation'!$AA$4:$AA$8</c:f>
              <c:numCache>
                <c:formatCode>General</c:formatCode>
                <c:ptCount val="5"/>
                <c:pt idx="0">
                  <c:v>9.0967615292804907E-2</c:v>
                </c:pt>
                <c:pt idx="1">
                  <c:v>6.0245071958491402E-2</c:v>
                </c:pt>
                <c:pt idx="2">
                  <c:v>4.2968768066169311E-2</c:v>
                </c:pt>
                <c:pt idx="3">
                  <c:v>3.291811854211453E-2</c:v>
                </c:pt>
                <c:pt idx="4">
                  <c:v>2.6561282710642602E-2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E1-485B-B2F8-DD079D050CC6}"/>
            </c:ext>
          </c:extLst>
        </c:ser>
        <c:ser>
          <c:idx val="1"/>
          <c:order val="1"/>
          <c:tx>
            <c:strRef>
              <c:f>'SLP-Training'!$AA$3</c:f>
              <c:strCache>
                <c:ptCount val="1"/>
                <c:pt idx="0">
                  <c:v>MSE (Train)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'SLP-Training'!$AA$4:$AA$8</c:f>
              <c:numCache>
                <c:formatCode>General</c:formatCode>
                <c:ptCount val="5"/>
                <c:pt idx="0">
                  <c:v>0.12996490026568225</c:v>
                </c:pt>
                <c:pt idx="1">
                  <c:v>3.4548306492121227E-2</c:v>
                </c:pt>
                <c:pt idx="2">
                  <c:v>2.2989957133828679E-2</c:v>
                </c:pt>
                <c:pt idx="3">
                  <c:v>1.6535226737225964E-2</c:v>
                </c:pt>
                <c:pt idx="4">
                  <c:v>1.2222388106167001E-2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E1-485B-B2F8-DD079D050CC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57174506"/>
        <c:axId val="81808180"/>
      </c:lineChart>
      <c:catAx>
        <c:axId val="571745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8180"/>
        <c:crosses val="autoZero"/>
        <c:auto val="1"/>
        <c:lblAlgn val="ctr"/>
        <c:lblOffset val="100"/>
        <c:noMultiLvlLbl val="0"/>
      </c:catAx>
      <c:valAx>
        <c:axId val="818081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45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Accuracy per Epoch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'SLP-Validation'!$AB$3</c:f>
              <c:strCache>
                <c:ptCount val="1"/>
                <c:pt idx="0">
                  <c:v>Accuracy (Val)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'SLP-Validation'!$Z$4:$Z$8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'SLP-Validation'!$AB$4:$AB$8</c:f>
              <c:numCache>
                <c:formatCode>General</c:formatCode>
                <c:ptCount val="5"/>
                <c:pt idx="0">
                  <c:v>0.85</c:v>
                </c:pt>
                <c:pt idx="1">
                  <c:v>0.95</c:v>
                </c:pt>
                <c:pt idx="2">
                  <c:v>0.95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B8-4C7A-87D2-862FF95E7499}"/>
            </c:ext>
          </c:extLst>
        </c:ser>
        <c:ser>
          <c:idx val="1"/>
          <c:order val="1"/>
          <c:tx>
            <c:strRef>
              <c:f>'SLP-Training'!$AB$3</c:f>
              <c:strCache>
                <c:ptCount val="1"/>
                <c:pt idx="0">
                  <c:v>Accuracy (Train)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'SLP-Training'!$AB$4:$AB$8</c:f>
              <c:numCache>
                <c:formatCode>General</c:formatCode>
                <c:ptCount val="5"/>
                <c:pt idx="0">
                  <c:v>0.85</c:v>
                </c:pt>
                <c:pt idx="1">
                  <c:v>0.95</c:v>
                </c:pt>
                <c:pt idx="2">
                  <c:v>0.97499999999999998</c:v>
                </c:pt>
                <c:pt idx="3">
                  <c:v>0.97499999999999998</c:v>
                </c:pt>
                <c:pt idx="4">
                  <c:v>0.98750000000000004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B8-4C7A-87D2-862FF95E7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28335558"/>
        <c:axId val="65837467"/>
      </c:lineChart>
      <c:catAx>
        <c:axId val="2833555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7467"/>
        <c:crosses val="autoZero"/>
        <c:auto val="1"/>
        <c:lblAlgn val="ctr"/>
        <c:lblOffset val="100"/>
        <c:noMultiLvlLbl val="0"/>
      </c:catAx>
      <c:valAx>
        <c:axId val="658374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55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297180</xdr:colOff>
      <xdr:row>12</xdr:row>
      <xdr:rowOff>53340</xdr:rowOff>
    </xdr:from>
    <xdr:to>
      <xdr:col>29</xdr:col>
      <xdr:colOff>258780</xdr:colOff>
      <xdr:row>28</xdr:row>
      <xdr:rowOff>42960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312420</xdr:colOff>
      <xdr:row>29</xdr:row>
      <xdr:rowOff>83820</xdr:rowOff>
    </xdr:from>
    <xdr:to>
      <xdr:col>29</xdr:col>
      <xdr:colOff>274020</xdr:colOff>
      <xdr:row>45</xdr:row>
      <xdr:rowOff>73440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10</xdr:row>
      <xdr:rowOff>0</xdr:rowOff>
    </xdr:from>
    <xdr:to>
      <xdr:col>29</xdr:col>
      <xdr:colOff>952200</xdr:colOff>
      <xdr:row>25</xdr:row>
      <xdr:rowOff>164880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541673-8EB3-42EA-9C02-965813239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7620</xdr:colOff>
      <xdr:row>26</xdr:row>
      <xdr:rowOff>144780</xdr:rowOff>
    </xdr:from>
    <xdr:to>
      <xdr:col>29</xdr:col>
      <xdr:colOff>959820</xdr:colOff>
      <xdr:row>42</xdr:row>
      <xdr:rowOff>134400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82C5D5-FAF9-4900-8A36-EBA4B7D21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0</xdr:colOff>
      <xdr:row>10</xdr:row>
      <xdr:rowOff>0</xdr:rowOff>
    </xdr:from>
    <xdr:to>
      <xdr:col>35</xdr:col>
      <xdr:colOff>952200</xdr:colOff>
      <xdr:row>25</xdr:row>
      <xdr:rowOff>164880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10DCD67-718C-4B7B-8033-22CBD7DED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30</xdr:col>
      <xdr:colOff>975360</xdr:colOff>
      <xdr:row>27</xdr:row>
      <xdr:rowOff>7620</xdr:rowOff>
    </xdr:from>
    <xdr:to>
      <xdr:col>35</xdr:col>
      <xdr:colOff>936960</xdr:colOff>
      <xdr:row>42</xdr:row>
      <xdr:rowOff>172500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CB68194-A597-479E-BC35-6A9A56011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zoomScaleNormal="100" workbookViewId="0"/>
  </sheetViews>
  <sheetFormatPr defaultColWidth="14.44140625" defaultRowHeight="14.4" x14ac:dyDescent="0.3"/>
  <cols>
    <col min="1" max="4" width="8.88671875" customWidth="1"/>
    <col min="5" max="5" width="14.88671875" customWidth="1"/>
    <col min="6" max="26" width="8.6640625" customWidth="1"/>
  </cols>
  <sheetData>
    <row r="1" spans="1:5" ht="14.25" customHeight="1" x14ac:dyDescent="0.3">
      <c r="A1" s="10">
        <v>5.0999999999999996</v>
      </c>
      <c r="B1" s="11">
        <v>3.5</v>
      </c>
      <c r="C1" s="11">
        <v>1.4</v>
      </c>
      <c r="D1" s="11">
        <v>0.2</v>
      </c>
      <c r="E1" s="12" t="s">
        <v>0</v>
      </c>
    </row>
    <row r="2" spans="1:5" ht="14.25" customHeight="1" x14ac:dyDescent="0.3">
      <c r="A2" s="10">
        <v>4.9000000000000004</v>
      </c>
      <c r="B2" s="11">
        <v>3</v>
      </c>
      <c r="C2" s="11">
        <v>1.4</v>
      </c>
      <c r="D2" s="11">
        <v>0.2</v>
      </c>
      <c r="E2" s="12" t="s">
        <v>0</v>
      </c>
    </row>
    <row r="3" spans="1:5" ht="14.25" customHeight="1" x14ac:dyDescent="0.3">
      <c r="A3" s="10">
        <v>4.7</v>
      </c>
      <c r="B3" s="11">
        <v>3.2</v>
      </c>
      <c r="C3" s="11">
        <v>1.3</v>
      </c>
      <c r="D3" s="11">
        <v>0.2</v>
      </c>
      <c r="E3" s="12" t="s">
        <v>0</v>
      </c>
    </row>
    <row r="4" spans="1:5" ht="14.25" customHeight="1" x14ac:dyDescent="0.3">
      <c r="A4" s="10">
        <v>4.5999999999999996</v>
      </c>
      <c r="B4" s="11">
        <v>3.1</v>
      </c>
      <c r="C4" s="11">
        <v>1.5</v>
      </c>
      <c r="D4" s="11">
        <v>0.2</v>
      </c>
      <c r="E4" s="12" t="s">
        <v>0</v>
      </c>
    </row>
    <row r="5" spans="1:5" ht="14.25" customHeight="1" x14ac:dyDescent="0.3">
      <c r="A5" s="10">
        <v>5</v>
      </c>
      <c r="B5" s="11">
        <v>3.6</v>
      </c>
      <c r="C5" s="11">
        <v>1.4</v>
      </c>
      <c r="D5" s="11">
        <v>0.2</v>
      </c>
      <c r="E5" s="12" t="s">
        <v>0</v>
      </c>
    </row>
    <row r="6" spans="1:5" ht="14.25" customHeight="1" x14ac:dyDescent="0.3">
      <c r="A6" s="10">
        <v>5.4</v>
      </c>
      <c r="B6" s="11">
        <v>3.9</v>
      </c>
      <c r="C6" s="11">
        <v>1.7</v>
      </c>
      <c r="D6" s="11">
        <v>0.4</v>
      </c>
      <c r="E6" s="12" t="s">
        <v>0</v>
      </c>
    </row>
    <row r="7" spans="1:5" ht="14.25" customHeight="1" x14ac:dyDescent="0.3">
      <c r="A7" s="10">
        <v>4.5999999999999996</v>
      </c>
      <c r="B7" s="11">
        <v>3.4</v>
      </c>
      <c r="C7" s="11">
        <v>1.4</v>
      </c>
      <c r="D7" s="11">
        <v>0.3</v>
      </c>
      <c r="E7" s="12" t="s">
        <v>0</v>
      </c>
    </row>
    <row r="8" spans="1:5" ht="14.25" customHeight="1" x14ac:dyDescent="0.3">
      <c r="A8" s="10">
        <v>5</v>
      </c>
      <c r="B8" s="11">
        <v>3.4</v>
      </c>
      <c r="C8" s="11">
        <v>1.5</v>
      </c>
      <c r="D8" s="11">
        <v>0.2</v>
      </c>
      <c r="E8" s="12" t="s">
        <v>0</v>
      </c>
    </row>
    <row r="9" spans="1:5" ht="14.25" customHeight="1" x14ac:dyDescent="0.3">
      <c r="A9" s="10">
        <v>4.4000000000000004</v>
      </c>
      <c r="B9" s="11">
        <v>2.9</v>
      </c>
      <c r="C9" s="11">
        <v>1.4</v>
      </c>
      <c r="D9" s="11">
        <v>0.2</v>
      </c>
      <c r="E9" s="12" t="s">
        <v>0</v>
      </c>
    </row>
    <row r="10" spans="1:5" ht="14.25" customHeight="1" x14ac:dyDescent="0.3">
      <c r="A10" s="10">
        <v>4.9000000000000004</v>
      </c>
      <c r="B10" s="11">
        <v>3.1</v>
      </c>
      <c r="C10" s="11">
        <v>1.5</v>
      </c>
      <c r="D10" s="11">
        <v>0.1</v>
      </c>
      <c r="E10" s="12" t="s">
        <v>0</v>
      </c>
    </row>
    <row r="11" spans="1:5" ht="14.25" customHeight="1" x14ac:dyDescent="0.3">
      <c r="A11" s="10">
        <v>5.4</v>
      </c>
      <c r="B11" s="11">
        <v>3.7</v>
      </c>
      <c r="C11" s="11">
        <v>1.5</v>
      </c>
      <c r="D11" s="11">
        <v>0.2</v>
      </c>
      <c r="E11" s="12" t="s">
        <v>0</v>
      </c>
    </row>
    <row r="12" spans="1:5" ht="14.25" customHeight="1" x14ac:dyDescent="0.3">
      <c r="A12" s="10">
        <v>4.8</v>
      </c>
      <c r="B12" s="11">
        <v>3.4</v>
      </c>
      <c r="C12" s="11">
        <v>1.6</v>
      </c>
      <c r="D12" s="11">
        <v>0.2</v>
      </c>
      <c r="E12" s="12" t="s">
        <v>0</v>
      </c>
    </row>
    <row r="13" spans="1:5" ht="14.25" customHeight="1" x14ac:dyDescent="0.3">
      <c r="A13" s="10">
        <v>4.8</v>
      </c>
      <c r="B13" s="11">
        <v>3</v>
      </c>
      <c r="C13" s="11">
        <v>1.4</v>
      </c>
      <c r="D13" s="11">
        <v>0.1</v>
      </c>
      <c r="E13" s="12" t="s">
        <v>0</v>
      </c>
    </row>
    <row r="14" spans="1:5" ht="14.25" customHeight="1" x14ac:dyDescent="0.3">
      <c r="A14" s="10">
        <v>4.3</v>
      </c>
      <c r="B14" s="11">
        <v>3</v>
      </c>
      <c r="C14" s="11">
        <v>1.1000000000000001</v>
      </c>
      <c r="D14" s="11">
        <v>0.1</v>
      </c>
      <c r="E14" s="12" t="s">
        <v>0</v>
      </c>
    </row>
    <row r="15" spans="1:5" ht="14.25" customHeight="1" x14ac:dyDescent="0.3">
      <c r="A15" s="10">
        <v>5.8</v>
      </c>
      <c r="B15" s="11">
        <v>4</v>
      </c>
      <c r="C15" s="11">
        <v>1.2</v>
      </c>
      <c r="D15" s="11">
        <v>0.2</v>
      </c>
      <c r="E15" s="12" t="s">
        <v>0</v>
      </c>
    </row>
    <row r="16" spans="1:5" ht="14.25" customHeight="1" x14ac:dyDescent="0.3">
      <c r="A16" s="10">
        <v>5.7</v>
      </c>
      <c r="B16" s="11">
        <v>4.4000000000000004</v>
      </c>
      <c r="C16" s="11">
        <v>1.5</v>
      </c>
      <c r="D16" s="11">
        <v>0.4</v>
      </c>
      <c r="E16" s="12" t="s">
        <v>0</v>
      </c>
    </row>
    <row r="17" spans="1:5" ht="14.25" customHeight="1" x14ac:dyDescent="0.3">
      <c r="A17" s="10">
        <v>5.4</v>
      </c>
      <c r="B17" s="11">
        <v>3.9</v>
      </c>
      <c r="C17" s="11">
        <v>1.3</v>
      </c>
      <c r="D17" s="11">
        <v>0.4</v>
      </c>
      <c r="E17" s="12" t="s">
        <v>0</v>
      </c>
    </row>
    <row r="18" spans="1:5" ht="14.25" customHeight="1" x14ac:dyDescent="0.3">
      <c r="A18" s="10">
        <v>5.0999999999999996</v>
      </c>
      <c r="B18" s="11">
        <v>3.5</v>
      </c>
      <c r="C18" s="11">
        <v>1.4</v>
      </c>
      <c r="D18" s="11">
        <v>0.3</v>
      </c>
      <c r="E18" s="12" t="s">
        <v>0</v>
      </c>
    </row>
    <row r="19" spans="1:5" ht="14.25" customHeight="1" x14ac:dyDescent="0.3">
      <c r="A19" s="10">
        <v>5.7</v>
      </c>
      <c r="B19" s="11">
        <v>3.8</v>
      </c>
      <c r="C19" s="11">
        <v>1.7</v>
      </c>
      <c r="D19" s="11">
        <v>0.3</v>
      </c>
      <c r="E19" s="12" t="s">
        <v>0</v>
      </c>
    </row>
    <row r="20" spans="1:5" ht="14.25" customHeight="1" x14ac:dyDescent="0.3">
      <c r="A20" s="10">
        <v>5.0999999999999996</v>
      </c>
      <c r="B20" s="11">
        <v>3.8</v>
      </c>
      <c r="C20" s="11">
        <v>1.5</v>
      </c>
      <c r="D20" s="11">
        <v>0.3</v>
      </c>
      <c r="E20" s="12" t="s">
        <v>0</v>
      </c>
    </row>
    <row r="21" spans="1:5" ht="14.25" customHeight="1" x14ac:dyDescent="0.3">
      <c r="A21" s="10">
        <v>5.4</v>
      </c>
      <c r="B21" s="11">
        <v>3.4</v>
      </c>
      <c r="C21" s="11">
        <v>1.7</v>
      </c>
      <c r="D21" s="11">
        <v>0.2</v>
      </c>
      <c r="E21" s="12" t="s">
        <v>0</v>
      </c>
    </row>
    <row r="22" spans="1:5" ht="14.25" customHeight="1" x14ac:dyDescent="0.3">
      <c r="A22" s="10">
        <v>5.0999999999999996</v>
      </c>
      <c r="B22" s="11">
        <v>3.7</v>
      </c>
      <c r="C22" s="11">
        <v>1.5</v>
      </c>
      <c r="D22" s="11">
        <v>0.4</v>
      </c>
      <c r="E22" s="12" t="s">
        <v>0</v>
      </c>
    </row>
    <row r="23" spans="1:5" ht="14.25" customHeight="1" x14ac:dyDescent="0.3">
      <c r="A23" s="10">
        <v>4.5999999999999996</v>
      </c>
      <c r="B23" s="11">
        <v>3.6</v>
      </c>
      <c r="C23" s="11">
        <v>1</v>
      </c>
      <c r="D23" s="11">
        <v>0.2</v>
      </c>
      <c r="E23" s="12" t="s">
        <v>0</v>
      </c>
    </row>
    <row r="24" spans="1:5" ht="14.25" customHeight="1" x14ac:dyDescent="0.3">
      <c r="A24" s="10">
        <v>5.0999999999999996</v>
      </c>
      <c r="B24" s="11">
        <v>3.3</v>
      </c>
      <c r="C24" s="11">
        <v>1.7</v>
      </c>
      <c r="D24" s="11">
        <v>0.5</v>
      </c>
      <c r="E24" s="12" t="s">
        <v>0</v>
      </c>
    </row>
    <row r="25" spans="1:5" ht="14.25" customHeight="1" x14ac:dyDescent="0.3">
      <c r="A25" s="10">
        <v>4.8</v>
      </c>
      <c r="B25" s="11">
        <v>3.4</v>
      </c>
      <c r="C25" s="11">
        <v>1.9</v>
      </c>
      <c r="D25" s="11">
        <v>0.2</v>
      </c>
      <c r="E25" s="12" t="s">
        <v>0</v>
      </c>
    </row>
    <row r="26" spans="1:5" ht="14.25" customHeight="1" x14ac:dyDescent="0.3">
      <c r="A26" s="10">
        <v>5</v>
      </c>
      <c r="B26" s="11">
        <v>3</v>
      </c>
      <c r="C26" s="11">
        <v>1.6</v>
      </c>
      <c r="D26" s="11">
        <v>0.2</v>
      </c>
      <c r="E26" s="12" t="s">
        <v>0</v>
      </c>
    </row>
    <row r="27" spans="1:5" ht="14.25" customHeight="1" x14ac:dyDescent="0.3">
      <c r="A27" s="10">
        <v>5</v>
      </c>
      <c r="B27" s="11">
        <v>3.4</v>
      </c>
      <c r="C27" s="11">
        <v>1.6</v>
      </c>
      <c r="D27" s="11">
        <v>0.4</v>
      </c>
      <c r="E27" s="12" t="s">
        <v>0</v>
      </c>
    </row>
    <row r="28" spans="1:5" ht="14.25" customHeight="1" x14ac:dyDescent="0.3">
      <c r="A28" s="10">
        <v>5.2</v>
      </c>
      <c r="B28" s="11">
        <v>3.5</v>
      </c>
      <c r="C28" s="11">
        <v>1.5</v>
      </c>
      <c r="D28" s="11">
        <v>0.2</v>
      </c>
      <c r="E28" s="12" t="s">
        <v>0</v>
      </c>
    </row>
    <row r="29" spans="1:5" ht="14.25" customHeight="1" x14ac:dyDescent="0.3">
      <c r="A29" s="10">
        <v>5.2</v>
      </c>
      <c r="B29" s="11">
        <v>3.4</v>
      </c>
      <c r="C29" s="11">
        <v>1.4</v>
      </c>
      <c r="D29" s="11">
        <v>0.2</v>
      </c>
      <c r="E29" s="12" t="s">
        <v>0</v>
      </c>
    </row>
    <row r="30" spans="1:5" ht="14.25" customHeight="1" x14ac:dyDescent="0.3">
      <c r="A30" s="10">
        <v>4.7</v>
      </c>
      <c r="B30" s="11">
        <v>3.2</v>
      </c>
      <c r="C30" s="11">
        <v>1.6</v>
      </c>
      <c r="D30" s="11">
        <v>0.2</v>
      </c>
      <c r="E30" s="12" t="s">
        <v>0</v>
      </c>
    </row>
    <row r="31" spans="1:5" ht="14.25" customHeight="1" x14ac:dyDescent="0.3">
      <c r="A31" s="10">
        <v>4.8</v>
      </c>
      <c r="B31" s="11">
        <v>3.1</v>
      </c>
      <c r="C31" s="11">
        <v>1.6</v>
      </c>
      <c r="D31" s="11">
        <v>0.2</v>
      </c>
      <c r="E31" s="12" t="s">
        <v>0</v>
      </c>
    </row>
    <row r="32" spans="1:5" ht="14.25" customHeight="1" x14ac:dyDescent="0.3">
      <c r="A32" s="10">
        <v>5.4</v>
      </c>
      <c r="B32" s="11">
        <v>3.4</v>
      </c>
      <c r="C32" s="11">
        <v>1.5</v>
      </c>
      <c r="D32" s="11">
        <v>0.4</v>
      </c>
      <c r="E32" s="12" t="s">
        <v>0</v>
      </c>
    </row>
    <row r="33" spans="1:5" ht="14.25" customHeight="1" x14ac:dyDescent="0.3">
      <c r="A33" s="10">
        <v>5.2</v>
      </c>
      <c r="B33" s="11">
        <v>4.0999999999999996</v>
      </c>
      <c r="C33" s="11">
        <v>1.5</v>
      </c>
      <c r="D33" s="11">
        <v>0.1</v>
      </c>
      <c r="E33" s="12" t="s">
        <v>0</v>
      </c>
    </row>
    <row r="34" spans="1:5" ht="14.25" customHeight="1" x14ac:dyDescent="0.3">
      <c r="A34" s="10">
        <v>5.5</v>
      </c>
      <c r="B34" s="11">
        <v>4.2</v>
      </c>
      <c r="C34" s="11">
        <v>1.4</v>
      </c>
      <c r="D34" s="11">
        <v>0.2</v>
      </c>
      <c r="E34" s="12" t="s">
        <v>0</v>
      </c>
    </row>
    <row r="35" spans="1:5" ht="14.25" customHeight="1" x14ac:dyDescent="0.3">
      <c r="A35" s="10">
        <v>4.9000000000000004</v>
      </c>
      <c r="B35" s="11">
        <v>3.1</v>
      </c>
      <c r="C35" s="11">
        <v>1.5</v>
      </c>
      <c r="D35" s="11">
        <v>0.1</v>
      </c>
      <c r="E35" s="12" t="s">
        <v>0</v>
      </c>
    </row>
    <row r="36" spans="1:5" ht="14.25" customHeight="1" x14ac:dyDescent="0.3">
      <c r="A36" s="10">
        <v>5</v>
      </c>
      <c r="B36" s="11">
        <v>3.2</v>
      </c>
      <c r="C36" s="11">
        <v>1.2</v>
      </c>
      <c r="D36" s="11">
        <v>0.2</v>
      </c>
      <c r="E36" s="12" t="s">
        <v>0</v>
      </c>
    </row>
    <row r="37" spans="1:5" ht="14.25" customHeight="1" x14ac:dyDescent="0.3">
      <c r="A37" s="10">
        <v>5.5</v>
      </c>
      <c r="B37" s="11">
        <v>3.5</v>
      </c>
      <c r="C37" s="11">
        <v>1.3</v>
      </c>
      <c r="D37" s="11">
        <v>0.2</v>
      </c>
      <c r="E37" s="12" t="s">
        <v>0</v>
      </c>
    </row>
    <row r="38" spans="1:5" ht="14.25" customHeight="1" x14ac:dyDescent="0.3">
      <c r="A38" s="10">
        <v>4.9000000000000004</v>
      </c>
      <c r="B38" s="11">
        <v>3.1</v>
      </c>
      <c r="C38" s="11">
        <v>1.5</v>
      </c>
      <c r="D38" s="11">
        <v>0.1</v>
      </c>
      <c r="E38" s="12" t="s">
        <v>0</v>
      </c>
    </row>
    <row r="39" spans="1:5" ht="14.25" customHeight="1" x14ac:dyDescent="0.3">
      <c r="A39" s="10">
        <v>4.4000000000000004</v>
      </c>
      <c r="B39" s="11">
        <v>3</v>
      </c>
      <c r="C39" s="11">
        <v>1.3</v>
      </c>
      <c r="D39" s="11">
        <v>0.2</v>
      </c>
      <c r="E39" s="12" t="s">
        <v>0</v>
      </c>
    </row>
    <row r="40" spans="1:5" ht="14.25" customHeight="1" x14ac:dyDescent="0.3">
      <c r="A40" s="10">
        <v>5.0999999999999996</v>
      </c>
      <c r="B40" s="11">
        <v>3.4</v>
      </c>
      <c r="C40" s="11">
        <v>1.5</v>
      </c>
      <c r="D40" s="11">
        <v>0.2</v>
      </c>
      <c r="E40" s="12" t="s">
        <v>0</v>
      </c>
    </row>
    <row r="41" spans="1:5" ht="14.25" customHeight="1" x14ac:dyDescent="0.3">
      <c r="A41" s="10">
        <v>5</v>
      </c>
      <c r="B41" s="11">
        <v>3.5</v>
      </c>
      <c r="C41" s="11">
        <v>1.3</v>
      </c>
      <c r="D41" s="11">
        <v>0.3</v>
      </c>
      <c r="E41" s="12" t="s">
        <v>0</v>
      </c>
    </row>
    <row r="42" spans="1:5" ht="14.25" customHeight="1" x14ac:dyDescent="0.3">
      <c r="A42" s="10">
        <v>4.5</v>
      </c>
      <c r="B42" s="11">
        <v>2.2999999999999998</v>
      </c>
      <c r="C42" s="11">
        <v>1.3</v>
      </c>
      <c r="D42" s="11">
        <v>0.3</v>
      </c>
      <c r="E42" s="12" t="s">
        <v>0</v>
      </c>
    </row>
    <row r="43" spans="1:5" ht="14.25" customHeight="1" x14ac:dyDescent="0.3">
      <c r="A43" s="10">
        <v>4.4000000000000004</v>
      </c>
      <c r="B43" s="11">
        <v>3.2</v>
      </c>
      <c r="C43" s="11">
        <v>1.3</v>
      </c>
      <c r="D43" s="11">
        <v>0.2</v>
      </c>
      <c r="E43" s="12" t="s">
        <v>0</v>
      </c>
    </row>
    <row r="44" spans="1:5" ht="14.25" customHeight="1" x14ac:dyDescent="0.3">
      <c r="A44" s="10">
        <v>5</v>
      </c>
      <c r="B44" s="11">
        <v>3.5</v>
      </c>
      <c r="C44" s="11">
        <v>1.6</v>
      </c>
      <c r="D44" s="11">
        <v>0.6</v>
      </c>
      <c r="E44" s="12" t="s">
        <v>0</v>
      </c>
    </row>
    <row r="45" spans="1:5" ht="14.25" customHeight="1" x14ac:dyDescent="0.3">
      <c r="A45" s="10">
        <v>5.0999999999999996</v>
      </c>
      <c r="B45" s="11">
        <v>3.8</v>
      </c>
      <c r="C45" s="11">
        <v>1.9</v>
      </c>
      <c r="D45" s="11">
        <v>0.4</v>
      </c>
      <c r="E45" s="12" t="s">
        <v>0</v>
      </c>
    </row>
    <row r="46" spans="1:5" ht="14.25" customHeight="1" x14ac:dyDescent="0.3">
      <c r="A46" s="10">
        <v>4.8</v>
      </c>
      <c r="B46" s="11">
        <v>3</v>
      </c>
      <c r="C46" s="11">
        <v>1.4</v>
      </c>
      <c r="D46" s="11">
        <v>0.3</v>
      </c>
      <c r="E46" s="12" t="s">
        <v>0</v>
      </c>
    </row>
    <row r="47" spans="1:5" ht="14.25" customHeight="1" x14ac:dyDescent="0.3">
      <c r="A47" s="10">
        <v>5.0999999999999996</v>
      </c>
      <c r="B47" s="11">
        <v>3.8</v>
      </c>
      <c r="C47" s="11">
        <v>1.6</v>
      </c>
      <c r="D47" s="11">
        <v>0.2</v>
      </c>
      <c r="E47" s="12" t="s">
        <v>0</v>
      </c>
    </row>
    <row r="48" spans="1:5" ht="14.25" customHeight="1" x14ac:dyDescent="0.3">
      <c r="A48" s="10">
        <v>4.5999999999999996</v>
      </c>
      <c r="B48" s="11">
        <v>3.2</v>
      </c>
      <c r="C48" s="11">
        <v>1.4</v>
      </c>
      <c r="D48" s="11">
        <v>0.2</v>
      </c>
      <c r="E48" s="12" t="s">
        <v>0</v>
      </c>
    </row>
    <row r="49" spans="1:5" ht="14.25" customHeight="1" x14ac:dyDescent="0.3">
      <c r="A49" s="10">
        <v>5.3</v>
      </c>
      <c r="B49" s="11">
        <v>3.7</v>
      </c>
      <c r="C49" s="11">
        <v>1.5</v>
      </c>
      <c r="D49" s="11">
        <v>0.2</v>
      </c>
      <c r="E49" s="12" t="s">
        <v>0</v>
      </c>
    </row>
    <row r="50" spans="1:5" ht="14.25" customHeight="1" x14ac:dyDescent="0.3">
      <c r="A50" s="10">
        <v>5</v>
      </c>
      <c r="B50" s="11">
        <v>3.3</v>
      </c>
      <c r="C50" s="11">
        <v>1.4</v>
      </c>
      <c r="D50" s="11">
        <v>0.2</v>
      </c>
      <c r="E50" s="12" t="s">
        <v>0</v>
      </c>
    </row>
    <row r="51" spans="1:5" ht="14.25" customHeight="1" x14ac:dyDescent="0.3">
      <c r="A51" s="10">
        <v>7</v>
      </c>
      <c r="B51" s="11">
        <v>3.2</v>
      </c>
      <c r="C51" s="11">
        <v>4.7</v>
      </c>
      <c r="D51" s="11">
        <v>1.4</v>
      </c>
      <c r="E51" s="12" t="s">
        <v>1</v>
      </c>
    </row>
    <row r="52" spans="1:5" ht="14.25" customHeight="1" x14ac:dyDescent="0.3">
      <c r="A52" s="10">
        <v>6.4</v>
      </c>
      <c r="B52" s="11">
        <v>3.2</v>
      </c>
      <c r="C52" s="11">
        <v>4.5</v>
      </c>
      <c r="D52" s="11">
        <v>1.5</v>
      </c>
      <c r="E52" s="12" t="s">
        <v>1</v>
      </c>
    </row>
    <row r="53" spans="1:5" ht="14.25" customHeight="1" x14ac:dyDescent="0.3">
      <c r="A53" s="10">
        <v>6.9</v>
      </c>
      <c r="B53" s="11">
        <v>3.1</v>
      </c>
      <c r="C53" s="11">
        <v>4.9000000000000004</v>
      </c>
      <c r="D53" s="11">
        <v>1.5</v>
      </c>
      <c r="E53" s="12" t="s">
        <v>1</v>
      </c>
    </row>
    <row r="54" spans="1:5" ht="14.25" customHeight="1" x14ac:dyDescent="0.3">
      <c r="A54" s="10">
        <v>5.5</v>
      </c>
      <c r="B54" s="11">
        <v>2.2999999999999998</v>
      </c>
      <c r="C54" s="11">
        <v>4</v>
      </c>
      <c r="D54" s="11">
        <v>1.3</v>
      </c>
      <c r="E54" s="12" t="s">
        <v>1</v>
      </c>
    </row>
    <row r="55" spans="1:5" ht="14.25" customHeight="1" x14ac:dyDescent="0.3">
      <c r="A55" s="10">
        <v>6.5</v>
      </c>
      <c r="B55" s="11">
        <v>2.8</v>
      </c>
      <c r="C55" s="11">
        <v>4.5999999999999996</v>
      </c>
      <c r="D55" s="11">
        <v>1.5</v>
      </c>
      <c r="E55" s="12" t="s">
        <v>1</v>
      </c>
    </row>
    <row r="56" spans="1:5" ht="14.25" customHeight="1" x14ac:dyDescent="0.3">
      <c r="A56" s="10">
        <v>5.7</v>
      </c>
      <c r="B56" s="11">
        <v>2.8</v>
      </c>
      <c r="C56" s="11">
        <v>4.5</v>
      </c>
      <c r="D56" s="11">
        <v>1.3</v>
      </c>
      <c r="E56" s="12" t="s">
        <v>1</v>
      </c>
    </row>
    <row r="57" spans="1:5" ht="14.25" customHeight="1" x14ac:dyDescent="0.3">
      <c r="A57" s="10">
        <v>6.3</v>
      </c>
      <c r="B57" s="11">
        <v>3.3</v>
      </c>
      <c r="C57" s="11">
        <v>4.7</v>
      </c>
      <c r="D57" s="11">
        <v>1.6</v>
      </c>
      <c r="E57" s="12" t="s">
        <v>1</v>
      </c>
    </row>
    <row r="58" spans="1:5" ht="14.25" customHeight="1" x14ac:dyDescent="0.3">
      <c r="A58" s="10">
        <v>4.9000000000000004</v>
      </c>
      <c r="B58" s="11">
        <v>2.4</v>
      </c>
      <c r="C58" s="11">
        <v>3.3</v>
      </c>
      <c r="D58" s="11">
        <v>1</v>
      </c>
      <c r="E58" s="12" t="s">
        <v>1</v>
      </c>
    </row>
    <row r="59" spans="1:5" ht="14.25" customHeight="1" x14ac:dyDescent="0.3">
      <c r="A59" s="10">
        <v>6.6</v>
      </c>
      <c r="B59" s="11">
        <v>2.9</v>
      </c>
      <c r="C59" s="11">
        <v>4.5999999999999996</v>
      </c>
      <c r="D59" s="11">
        <v>1.3</v>
      </c>
      <c r="E59" s="12" t="s">
        <v>1</v>
      </c>
    </row>
    <row r="60" spans="1:5" ht="14.25" customHeight="1" x14ac:dyDescent="0.3">
      <c r="A60" s="10">
        <v>5.2</v>
      </c>
      <c r="B60" s="11">
        <v>2.7</v>
      </c>
      <c r="C60" s="11">
        <v>3.9</v>
      </c>
      <c r="D60" s="11">
        <v>1.4</v>
      </c>
      <c r="E60" s="12" t="s">
        <v>1</v>
      </c>
    </row>
    <row r="61" spans="1:5" ht="14.25" customHeight="1" x14ac:dyDescent="0.3">
      <c r="A61" s="10">
        <v>5</v>
      </c>
      <c r="B61" s="11">
        <v>2</v>
      </c>
      <c r="C61" s="11">
        <v>3.5</v>
      </c>
      <c r="D61" s="11">
        <v>1</v>
      </c>
      <c r="E61" s="12" t="s">
        <v>1</v>
      </c>
    </row>
    <row r="62" spans="1:5" ht="14.25" customHeight="1" x14ac:dyDescent="0.3">
      <c r="A62" s="10">
        <v>5.9</v>
      </c>
      <c r="B62" s="11">
        <v>3</v>
      </c>
      <c r="C62" s="11">
        <v>4.2</v>
      </c>
      <c r="D62" s="11">
        <v>1.5</v>
      </c>
      <c r="E62" s="12" t="s">
        <v>1</v>
      </c>
    </row>
    <row r="63" spans="1:5" ht="14.25" customHeight="1" x14ac:dyDescent="0.3">
      <c r="A63" s="10">
        <v>6</v>
      </c>
      <c r="B63" s="11">
        <v>2.2000000000000002</v>
      </c>
      <c r="C63" s="11">
        <v>4</v>
      </c>
      <c r="D63" s="11">
        <v>1</v>
      </c>
      <c r="E63" s="12" t="s">
        <v>1</v>
      </c>
    </row>
    <row r="64" spans="1:5" ht="14.25" customHeight="1" x14ac:dyDescent="0.3">
      <c r="A64" s="10">
        <v>6.1</v>
      </c>
      <c r="B64" s="11">
        <v>2.9</v>
      </c>
      <c r="C64" s="11">
        <v>4.7</v>
      </c>
      <c r="D64" s="11">
        <v>1.4</v>
      </c>
      <c r="E64" s="12" t="s">
        <v>1</v>
      </c>
    </row>
    <row r="65" spans="1:5" ht="14.25" customHeight="1" x14ac:dyDescent="0.3">
      <c r="A65" s="10">
        <v>5.6</v>
      </c>
      <c r="B65" s="11">
        <v>2.9</v>
      </c>
      <c r="C65" s="11">
        <v>3.6</v>
      </c>
      <c r="D65" s="11">
        <v>1.3</v>
      </c>
      <c r="E65" s="12" t="s">
        <v>1</v>
      </c>
    </row>
    <row r="66" spans="1:5" ht="14.25" customHeight="1" x14ac:dyDescent="0.3">
      <c r="A66" s="10">
        <v>6.7</v>
      </c>
      <c r="B66" s="11">
        <v>3.1</v>
      </c>
      <c r="C66" s="11">
        <v>4.4000000000000004</v>
      </c>
      <c r="D66" s="11">
        <v>1.4</v>
      </c>
      <c r="E66" s="12" t="s">
        <v>1</v>
      </c>
    </row>
    <row r="67" spans="1:5" ht="14.25" customHeight="1" x14ac:dyDescent="0.3">
      <c r="A67" s="10">
        <v>5.6</v>
      </c>
      <c r="B67" s="11">
        <v>3</v>
      </c>
      <c r="C67" s="11">
        <v>4.5</v>
      </c>
      <c r="D67" s="11">
        <v>1.5</v>
      </c>
      <c r="E67" s="12" t="s">
        <v>1</v>
      </c>
    </row>
    <row r="68" spans="1:5" ht="14.25" customHeight="1" x14ac:dyDescent="0.3">
      <c r="A68" s="10">
        <v>5.8</v>
      </c>
      <c r="B68" s="11">
        <v>2.7</v>
      </c>
      <c r="C68" s="11">
        <v>4.0999999999999996</v>
      </c>
      <c r="D68" s="11">
        <v>1</v>
      </c>
      <c r="E68" s="12" t="s">
        <v>1</v>
      </c>
    </row>
    <row r="69" spans="1:5" ht="14.25" customHeight="1" x14ac:dyDescent="0.3">
      <c r="A69" s="10">
        <v>6.2</v>
      </c>
      <c r="B69" s="11">
        <v>2.2000000000000002</v>
      </c>
      <c r="C69" s="11">
        <v>4.5</v>
      </c>
      <c r="D69" s="11">
        <v>1.5</v>
      </c>
      <c r="E69" s="12" t="s">
        <v>1</v>
      </c>
    </row>
    <row r="70" spans="1:5" ht="14.25" customHeight="1" x14ac:dyDescent="0.3">
      <c r="A70" s="10">
        <v>5.6</v>
      </c>
      <c r="B70" s="11">
        <v>2.5</v>
      </c>
      <c r="C70" s="11">
        <v>3.9</v>
      </c>
      <c r="D70" s="11">
        <v>1.1000000000000001</v>
      </c>
      <c r="E70" s="12" t="s">
        <v>1</v>
      </c>
    </row>
    <row r="71" spans="1:5" ht="14.25" customHeight="1" x14ac:dyDescent="0.3">
      <c r="A71" s="10">
        <v>5.9</v>
      </c>
      <c r="B71" s="11">
        <v>3.2</v>
      </c>
      <c r="C71" s="11">
        <v>4.8</v>
      </c>
      <c r="D71" s="11">
        <v>1.8</v>
      </c>
      <c r="E71" s="12" t="s">
        <v>1</v>
      </c>
    </row>
    <row r="72" spans="1:5" ht="14.25" customHeight="1" x14ac:dyDescent="0.3">
      <c r="A72" s="10">
        <v>6.1</v>
      </c>
      <c r="B72" s="11">
        <v>2.8</v>
      </c>
      <c r="C72" s="11">
        <v>4</v>
      </c>
      <c r="D72" s="11">
        <v>1.3</v>
      </c>
      <c r="E72" s="12" t="s">
        <v>1</v>
      </c>
    </row>
    <row r="73" spans="1:5" ht="14.25" customHeight="1" x14ac:dyDescent="0.3">
      <c r="A73" s="10">
        <v>6.3</v>
      </c>
      <c r="B73" s="11">
        <v>2.5</v>
      </c>
      <c r="C73" s="11">
        <v>4.9000000000000004</v>
      </c>
      <c r="D73" s="11">
        <v>1.5</v>
      </c>
      <c r="E73" s="12" t="s">
        <v>1</v>
      </c>
    </row>
    <row r="74" spans="1:5" ht="14.25" customHeight="1" x14ac:dyDescent="0.3">
      <c r="A74" s="10">
        <v>6.1</v>
      </c>
      <c r="B74" s="11">
        <v>2.8</v>
      </c>
      <c r="C74" s="11">
        <v>4.7</v>
      </c>
      <c r="D74" s="11">
        <v>1.2</v>
      </c>
      <c r="E74" s="12" t="s">
        <v>1</v>
      </c>
    </row>
    <row r="75" spans="1:5" ht="14.25" customHeight="1" x14ac:dyDescent="0.3">
      <c r="A75" s="10">
        <v>6.4</v>
      </c>
      <c r="B75" s="11">
        <v>2.9</v>
      </c>
      <c r="C75" s="11">
        <v>4.3</v>
      </c>
      <c r="D75" s="11">
        <v>1.3</v>
      </c>
      <c r="E75" s="12" t="s">
        <v>1</v>
      </c>
    </row>
    <row r="76" spans="1:5" ht="14.25" customHeight="1" x14ac:dyDescent="0.3">
      <c r="A76" s="10">
        <v>6.6</v>
      </c>
      <c r="B76" s="11">
        <v>3</v>
      </c>
      <c r="C76" s="11">
        <v>4.4000000000000004</v>
      </c>
      <c r="D76" s="11">
        <v>1.4</v>
      </c>
      <c r="E76" s="12" t="s">
        <v>1</v>
      </c>
    </row>
    <row r="77" spans="1:5" ht="14.25" customHeight="1" x14ac:dyDescent="0.3">
      <c r="A77" s="10">
        <v>6.8</v>
      </c>
      <c r="B77" s="11">
        <v>2.8</v>
      </c>
      <c r="C77" s="11">
        <v>4.8</v>
      </c>
      <c r="D77" s="11">
        <v>1.4</v>
      </c>
      <c r="E77" s="12" t="s">
        <v>1</v>
      </c>
    </row>
    <row r="78" spans="1:5" ht="14.25" customHeight="1" x14ac:dyDescent="0.3">
      <c r="A78" s="10">
        <v>6.7</v>
      </c>
      <c r="B78" s="11">
        <v>3</v>
      </c>
      <c r="C78" s="11">
        <v>5</v>
      </c>
      <c r="D78" s="11">
        <v>1.7</v>
      </c>
      <c r="E78" s="12" t="s">
        <v>1</v>
      </c>
    </row>
    <row r="79" spans="1:5" ht="14.25" customHeight="1" x14ac:dyDescent="0.3">
      <c r="A79" s="10">
        <v>6</v>
      </c>
      <c r="B79" s="11">
        <v>2.9</v>
      </c>
      <c r="C79" s="11">
        <v>4.5</v>
      </c>
      <c r="D79" s="11">
        <v>1.5</v>
      </c>
      <c r="E79" s="12" t="s">
        <v>1</v>
      </c>
    </row>
    <row r="80" spans="1:5" ht="14.25" customHeight="1" x14ac:dyDescent="0.3">
      <c r="A80" s="10">
        <v>5.7</v>
      </c>
      <c r="B80" s="11">
        <v>2.6</v>
      </c>
      <c r="C80" s="11">
        <v>3.5</v>
      </c>
      <c r="D80" s="11">
        <v>1</v>
      </c>
      <c r="E80" s="12" t="s">
        <v>1</v>
      </c>
    </row>
    <row r="81" spans="1:5" ht="14.25" customHeight="1" x14ac:dyDescent="0.3">
      <c r="A81" s="10">
        <v>5.5</v>
      </c>
      <c r="B81" s="11">
        <v>2.4</v>
      </c>
      <c r="C81" s="11">
        <v>3.8</v>
      </c>
      <c r="D81" s="11">
        <v>1.1000000000000001</v>
      </c>
      <c r="E81" s="12" t="s">
        <v>1</v>
      </c>
    </row>
    <row r="82" spans="1:5" ht="14.25" customHeight="1" x14ac:dyDescent="0.3">
      <c r="A82" s="10">
        <v>5.5</v>
      </c>
      <c r="B82" s="11">
        <v>2.4</v>
      </c>
      <c r="C82" s="11">
        <v>3.7</v>
      </c>
      <c r="D82" s="11">
        <v>1</v>
      </c>
      <c r="E82" s="12" t="s">
        <v>1</v>
      </c>
    </row>
    <row r="83" spans="1:5" ht="14.25" customHeight="1" x14ac:dyDescent="0.3">
      <c r="A83" s="10">
        <v>5.8</v>
      </c>
      <c r="B83" s="11">
        <v>2.7</v>
      </c>
      <c r="C83" s="11">
        <v>3.9</v>
      </c>
      <c r="D83" s="11">
        <v>1.2</v>
      </c>
      <c r="E83" s="12" t="s">
        <v>1</v>
      </c>
    </row>
    <row r="84" spans="1:5" ht="14.25" customHeight="1" x14ac:dyDescent="0.3">
      <c r="A84" s="10">
        <v>6</v>
      </c>
      <c r="B84" s="11">
        <v>2.7</v>
      </c>
      <c r="C84" s="11">
        <v>5.0999999999999996</v>
      </c>
      <c r="D84" s="11">
        <v>1.6</v>
      </c>
      <c r="E84" s="12" t="s">
        <v>1</v>
      </c>
    </row>
    <row r="85" spans="1:5" ht="14.25" customHeight="1" x14ac:dyDescent="0.3">
      <c r="A85" s="10">
        <v>5.4</v>
      </c>
      <c r="B85" s="11">
        <v>3</v>
      </c>
      <c r="C85" s="11">
        <v>4.5</v>
      </c>
      <c r="D85" s="11">
        <v>1.5</v>
      </c>
      <c r="E85" s="12" t="s">
        <v>1</v>
      </c>
    </row>
    <row r="86" spans="1:5" ht="14.25" customHeight="1" x14ac:dyDescent="0.3">
      <c r="A86" s="10">
        <v>6</v>
      </c>
      <c r="B86" s="11">
        <v>3.4</v>
      </c>
      <c r="C86" s="11">
        <v>4.5</v>
      </c>
      <c r="D86" s="11">
        <v>1.6</v>
      </c>
      <c r="E86" s="12" t="s">
        <v>1</v>
      </c>
    </row>
    <row r="87" spans="1:5" ht="14.25" customHeight="1" x14ac:dyDescent="0.3">
      <c r="A87" s="10">
        <v>6.7</v>
      </c>
      <c r="B87" s="11">
        <v>3.1</v>
      </c>
      <c r="C87" s="11">
        <v>4.7</v>
      </c>
      <c r="D87" s="11">
        <v>1.5</v>
      </c>
      <c r="E87" s="12" t="s">
        <v>1</v>
      </c>
    </row>
    <row r="88" spans="1:5" ht="14.25" customHeight="1" x14ac:dyDescent="0.3">
      <c r="A88" s="10">
        <v>6.3</v>
      </c>
      <c r="B88" s="11">
        <v>2.2999999999999998</v>
      </c>
      <c r="C88" s="11">
        <v>4.4000000000000004</v>
      </c>
      <c r="D88" s="11">
        <v>1.3</v>
      </c>
      <c r="E88" s="12" t="s">
        <v>1</v>
      </c>
    </row>
    <row r="89" spans="1:5" ht="14.25" customHeight="1" x14ac:dyDescent="0.3">
      <c r="A89" s="10">
        <v>5.6</v>
      </c>
      <c r="B89" s="11">
        <v>3</v>
      </c>
      <c r="C89" s="11">
        <v>4.0999999999999996</v>
      </c>
      <c r="D89" s="11">
        <v>1.3</v>
      </c>
      <c r="E89" s="12" t="s">
        <v>1</v>
      </c>
    </row>
    <row r="90" spans="1:5" ht="14.25" customHeight="1" x14ac:dyDescent="0.3">
      <c r="A90" s="10">
        <v>5.5</v>
      </c>
      <c r="B90" s="11">
        <v>2.5</v>
      </c>
      <c r="C90" s="11">
        <v>4</v>
      </c>
      <c r="D90" s="11">
        <v>1.3</v>
      </c>
      <c r="E90" s="12" t="s">
        <v>1</v>
      </c>
    </row>
    <row r="91" spans="1:5" ht="14.25" customHeight="1" x14ac:dyDescent="0.3">
      <c r="A91" s="10">
        <v>5.5</v>
      </c>
      <c r="B91" s="11">
        <v>2.6</v>
      </c>
      <c r="C91" s="11">
        <v>4.4000000000000004</v>
      </c>
      <c r="D91" s="11">
        <v>1.2</v>
      </c>
      <c r="E91" s="12" t="s">
        <v>1</v>
      </c>
    </row>
    <row r="92" spans="1:5" ht="14.25" customHeight="1" x14ac:dyDescent="0.3">
      <c r="A92" s="10">
        <v>6.1</v>
      </c>
      <c r="B92" s="11">
        <v>3</v>
      </c>
      <c r="C92" s="11">
        <v>4.5999999999999996</v>
      </c>
      <c r="D92" s="11">
        <v>1.4</v>
      </c>
      <c r="E92" s="12" t="s">
        <v>1</v>
      </c>
    </row>
    <row r="93" spans="1:5" ht="14.25" customHeight="1" x14ac:dyDescent="0.3">
      <c r="A93" s="10">
        <v>5.8</v>
      </c>
      <c r="B93" s="11">
        <v>2.6</v>
      </c>
      <c r="C93" s="11">
        <v>4</v>
      </c>
      <c r="D93" s="11">
        <v>1.2</v>
      </c>
      <c r="E93" s="12" t="s">
        <v>1</v>
      </c>
    </row>
    <row r="94" spans="1:5" ht="14.25" customHeight="1" x14ac:dyDescent="0.3">
      <c r="A94" s="10">
        <v>5</v>
      </c>
      <c r="B94" s="11">
        <v>2.2999999999999998</v>
      </c>
      <c r="C94" s="11">
        <v>3.3</v>
      </c>
      <c r="D94" s="11">
        <v>1</v>
      </c>
      <c r="E94" s="12" t="s">
        <v>1</v>
      </c>
    </row>
    <row r="95" spans="1:5" ht="14.25" customHeight="1" x14ac:dyDescent="0.3">
      <c r="A95" s="10">
        <v>5.6</v>
      </c>
      <c r="B95" s="11">
        <v>2.7</v>
      </c>
      <c r="C95" s="11">
        <v>4.2</v>
      </c>
      <c r="D95" s="11">
        <v>1.3</v>
      </c>
      <c r="E95" s="12" t="s">
        <v>1</v>
      </c>
    </row>
    <row r="96" spans="1:5" ht="14.25" customHeight="1" x14ac:dyDescent="0.3">
      <c r="A96" s="10">
        <v>5.7</v>
      </c>
      <c r="B96" s="11">
        <v>3</v>
      </c>
      <c r="C96" s="11">
        <v>4.2</v>
      </c>
      <c r="D96" s="11">
        <v>1.2</v>
      </c>
      <c r="E96" s="12" t="s">
        <v>1</v>
      </c>
    </row>
    <row r="97" spans="1:5" ht="14.25" customHeight="1" x14ac:dyDescent="0.3">
      <c r="A97" s="10">
        <v>5.7</v>
      </c>
      <c r="B97" s="11">
        <v>2.9</v>
      </c>
      <c r="C97" s="11">
        <v>4.2</v>
      </c>
      <c r="D97" s="11">
        <v>1.3</v>
      </c>
      <c r="E97" s="12" t="s">
        <v>1</v>
      </c>
    </row>
    <row r="98" spans="1:5" ht="14.25" customHeight="1" x14ac:dyDescent="0.3">
      <c r="A98" s="10">
        <v>6.2</v>
      </c>
      <c r="B98" s="11">
        <v>2.9</v>
      </c>
      <c r="C98" s="11">
        <v>4.3</v>
      </c>
      <c r="D98" s="11">
        <v>1.3</v>
      </c>
      <c r="E98" s="12" t="s">
        <v>1</v>
      </c>
    </row>
    <row r="99" spans="1:5" ht="14.25" customHeight="1" x14ac:dyDescent="0.3">
      <c r="A99" s="10">
        <v>5.0999999999999996</v>
      </c>
      <c r="B99" s="11">
        <v>2.5</v>
      </c>
      <c r="C99" s="11">
        <v>3</v>
      </c>
      <c r="D99" s="11">
        <v>1.1000000000000001</v>
      </c>
      <c r="E99" s="12" t="s">
        <v>1</v>
      </c>
    </row>
    <row r="100" spans="1:5" ht="14.25" customHeight="1" x14ac:dyDescent="0.3">
      <c r="A100" s="10">
        <v>5.7</v>
      </c>
      <c r="B100" s="11">
        <v>2.8</v>
      </c>
      <c r="C100" s="11">
        <v>4.0999999999999996</v>
      </c>
      <c r="D100" s="11">
        <v>1.3</v>
      </c>
      <c r="E100" s="12" t="s">
        <v>1</v>
      </c>
    </row>
    <row r="101" spans="1:5" ht="14.25" customHeight="1" x14ac:dyDescent="0.3">
      <c r="A101" s="13"/>
      <c r="B101" s="14"/>
      <c r="C101" s="14"/>
      <c r="D101" s="14"/>
      <c r="E101" s="15"/>
    </row>
    <row r="102" spans="1:5" ht="14.25" customHeight="1" x14ac:dyDescent="0.3">
      <c r="A102" s="13"/>
      <c r="B102" s="14"/>
      <c r="C102" s="14"/>
      <c r="D102" s="14"/>
      <c r="E102" s="15"/>
    </row>
    <row r="103" spans="1:5" ht="14.25" customHeight="1" x14ac:dyDescent="0.3">
      <c r="A103" s="13"/>
      <c r="B103" s="14"/>
      <c r="C103" s="14"/>
      <c r="D103" s="14"/>
      <c r="E103" s="15"/>
    </row>
    <row r="104" spans="1:5" ht="14.25" customHeight="1" x14ac:dyDescent="0.3">
      <c r="A104" s="13"/>
      <c r="B104" s="14"/>
      <c r="C104" s="14"/>
      <c r="D104" s="14"/>
      <c r="E104" s="15"/>
    </row>
    <row r="105" spans="1:5" ht="14.25" customHeight="1" x14ac:dyDescent="0.3">
      <c r="A105" s="13"/>
      <c r="B105" s="14"/>
      <c r="C105" s="14"/>
      <c r="D105" s="14"/>
      <c r="E105" s="15"/>
    </row>
    <row r="106" spans="1:5" ht="14.25" customHeight="1" x14ac:dyDescent="0.3">
      <c r="A106" s="13"/>
      <c r="B106" s="14"/>
      <c r="C106" s="14"/>
      <c r="D106" s="14"/>
      <c r="E106" s="15"/>
    </row>
    <row r="107" spans="1:5" ht="14.25" customHeight="1" x14ac:dyDescent="0.3">
      <c r="A107" s="13"/>
      <c r="B107" s="14"/>
      <c r="C107" s="14"/>
      <c r="D107" s="14"/>
      <c r="E107" s="15"/>
    </row>
    <row r="108" spans="1:5" ht="14.25" customHeight="1" x14ac:dyDescent="0.3">
      <c r="A108" s="13"/>
      <c r="B108" s="14"/>
      <c r="C108" s="14"/>
      <c r="D108" s="14"/>
      <c r="E108" s="15"/>
    </row>
    <row r="109" spans="1:5" ht="14.25" customHeight="1" x14ac:dyDescent="0.3">
      <c r="A109" s="13"/>
      <c r="B109" s="14"/>
      <c r="C109" s="14"/>
      <c r="D109" s="14"/>
      <c r="E109" s="15"/>
    </row>
    <row r="110" spans="1:5" ht="14.25" customHeight="1" x14ac:dyDescent="0.3">
      <c r="A110" s="13"/>
      <c r="B110" s="14"/>
      <c r="C110" s="14"/>
      <c r="D110" s="14"/>
      <c r="E110" s="15"/>
    </row>
    <row r="111" spans="1:5" ht="14.25" customHeight="1" x14ac:dyDescent="0.3">
      <c r="A111" s="13"/>
      <c r="B111" s="14"/>
      <c r="C111" s="14"/>
      <c r="D111" s="14"/>
      <c r="E111" s="15"/>
    </row>
    <row r="112" spans="1:5" ht="14.25" customHeight="1" x14ac:dyDescent="0.3">
      <c r="A112" s="13"/>
      <c r="B112" s="14"/>
      <c r="C112" s="14"/>
      <c r="D112" s="14"/>
      <c r="E112" s="15"/>
    </row>
    <row r="113" spans="1:5" ht="14.25" customHeight="1" x14ac:dyDescent="0.3">
      <c r="A113" s="13"/>
      <c r="B113" s="14"/>
      <c r="C113" s="14"/>
      <c r="D113" s="14"/>
      <c r="E113" s="15"/>
    </row>
    <row r="114" spans="1:5" ht="14.25" customHeight="1" x14ac:dyDescent="0.3">
      <c r="A114" s="13"/>
      <c r="B114" s="14"/>
      <c r="C114" s="14"/>
      <c r="D114" s="14"/>
      <c r="E114" s="15"/>
    </row>
    <row r="115" spans="1:5" ht="14.25" customHeight="1" x14ac:dyDescent="0.3">
      <c r="A115" s="13"/>
      <c r="B115" s="14"/>
      <c r="C115" s="14"/>
      <c r="D115" s="14"/>
      <c r="E115" s="15"/>
    </row>
    <row r="116" spans="1:5" ht="14.25" customHeight="1" x14ac:dyDescent="0.3">
      <c r="A116" s="13"/>
      <c r="B116" s="14"/>
      <c r="C116" s="14"/>
      <c r="D116" s="14"/>
      <c r="E116" s="15"/>
    </row>
    <row r="117" spans="1:5" ht="14.25" customHeight="1" x14ac:dyDescent="0.3">
      <c r="A117" s="13"/>
      <c r="B117" s="14"/>
      <c r="C117" s="14"/>
      <c r="D117" s="14"/>
      <c r="E117" s="15"/>
    </row>
    <row r="118" spans="1:5" ht="14.25" customHeight="1" x14ac:dyDescent="0.3">
      <c r="A118" s="13"/>
      <c r="B118" s="14"/>
      <c r="C118" s="14"/>
      <c r="D118" s="14"/>
      <c r="E118" s="15"/>
    </row>
    <row r="119" spans="1:5" ht="14.25" customHeight="1" x14ac:dyDescent="0.3">
      <c r="A119" s="13"/>
      <c r="B119" s="14"/>
      <c r="C119" s="14"/>
      <c r="D119" s="14"/>
      <c r="E119" s="15"/>
    </row>
    <row r="120" spans="1:5" ht="14.25" customHeight="1" x14ac:dyDescent="0.3">
      <c r="A120" s="13"/>
      <c r="B120" s="14"/>
      <c r="C120" s="14"/>
      <c r="D120" s="14"/>
      <c r="E120" s="15"/>
    </row>
    <row r="121" spans="1:5" ht="14.25" customHeight="1" x14ac:dyDescent="0.3">
      <c r="A121" s="13"/>
      <c r="B121" s="14"/>
      <c r="C121" s="14"/>
      <c r="D121" s="14"/>
      <c r="E121" s="15"/>
    </row>
    <row r="122" spans="1:5" ht="14.25" customHeight="1" x14ac:dyDescent="0.3">
      <c r="A122" s="13"/>
      <c r="B122" s="14"/>
      <c r="C122" s="14"/>
      <c r="D122" s="14"/>
      <c r="E122" s="15"/>
    </row>
    <row r="123" spans="1:5" ht="14.25" customHeight="1" x14ac:dyDescent="0.3">
      <c r="A123" s="13"/>
      <c r="B123" s="14"/>
      <c r="C123" s="14"/>
      <c r="D123" s="14"/>
      <c r="E123" s="15"/>
    </row>
    <row r="124" spans="1:5" ht="14.25" customHeight="1" x14ac:dyDescent="0.3">
      <c r="A124" s="13"/>
      <c r="B124" s="14"/>
      <c r="C124" s="14"/>
      <c r="D124" s="14"/>
      <c r="E124" s="15"/>
    </row>
    <row r="125" spans="1:5" ht="14.25" customHeight="1" x14ac:dyDescent="0.3">
      <c r="A125" s="13"/>
      <c r="B125" s="14"/>
      <c r="C125" s="14"/>
      <c r="D125" s="14"/>
      <c r="E125" s="15"/>
    </row>
    <row r="126" spans="1:5" ht="14.25" customHeight="1" x14ac:dyDescent="0.3">
      <c r="A126" s="13"/>
      <c r="B126" s="14"/>
      <c r="C126" s="14"/>
      <c r="D126" s="14"/>
      <c r="E126" s="15"/>
    </row>
    <row r="127" spans="1:5" ht="14.25" customHeight="1" x14ac:dyDescent="0.3">
      <c r="A127" s="13"/>
      <c r="B127" s="14"/>
      <c r="C127" s="14"/>
      <c r="D127" s="14"/>
      <c r="E127" s="15"/>
    </row>
    <row r="128" spans="1:5" ht="14.25" customHeight="1" x14ac:dyDescent="0.3">
      <c r="A128" s="13"/>
      <c r="B128" s="14"/>
      <c r="C128" s="14"/>
      <c r="D128" s="14"/>
      <c r="E128" s="15"/>
    </row>
    <row r="129" spans="1:5" ht="14.25" customHeight="1" x14ac:dyDescent="0.3">
      <c r="A129" s="13"/>
      <c r="B129" s="14"/>
      <c r="C129" s="14"/>
      <c r="D129" s="14"/>
      <c r="E129" s="15"/>
    </row>
    <row r="130" spans="1:5" ht="14.25" customHeight="1" x14ac:dyDescent="0.3">
      <c r="A130" s="13"/>
      <c r="B130" s="14"/>
      <c r="C130" s="14"/>
      <c r="D130" s="14"/>
      <c r="E130" s="15"/>
    </row>
    <row r="131" spans="1:5" ht="14.25" customHeight="1" x14ac:dyDescent="0.3">
      <c r="A131" s="13"/>
      <c r="B131" s="14"/>
      <c r="C131" s="14"/>
      <c r="D131" s="14"/>
      <c r="E131" s="15"/>
    </row>
    <row r="132" spans="1:5" ht="14.25" customHeight="1" x14ac:dyDescent="0.3">
      <c r="A132" s="13"/>
      <c r="B132" s="14"/>
      <c r="C132" s="14"/>
      <c r="D132" s="14"/>
      <c r="E132" s="15"/>
    </row>
    <row r="133" spans="1:5" ht="14.25" customHeight="1" x14ac:dyDescent="0.3">
      <c r="A133" s="13"/>
      <c r="B133" s="14"/>
      <c r="C133" s="14"/>
      <c r="D133" s="14"/>
      <c r="E133" s="15"/>
    </row>
    <row r="134" spans="1:5" ht="14.25" customHeight="1" x14ac:dyDescent="0.3">
      <c r="A134" s="13"/>
      <c r="B134" s="14"/>
      <c r="C134" s="14"/>
      <c r="D134" s="14"/>
      <c r="E134" s="15"/>
    </row>
    <row r="135" spans="1:5" ht="14.25" customHeight="1" x14ac:dyDescent="0.3">
      <c r="A135" s="13"/>
      <c r="B135" s="14"/>
      <c r="C135" s="14"/>
      <c r="D135" s="14"/>
      <c r="E135" s="15"/>
    </row>
    <row r="136" spans="1:5" ht="14.25" customHeight="1" x14ac:dyDescent="0.3">
      <c r="A136" s="13"/>
      <c r="B136" s="14"/>
      <c r="C136" s="14"/>
      <c r="D136" s="14"/>
      <c r="E136" s="15"/>
    </row>
    <row r="137" spans="1:5" ht="14.25" customHeight="1" x14ac:dyDescent="0.3">
      <c r="A137" s="13"/>
      <c r="B137" s="14"/>
      <c r="C137" s="14"/>
      <c r="D137" s="14"/>
      <c r="E137" s="15"/>
    </row>
    <row r="138" spans="1:5" ht="14.25" customHeight="1" x14ac:dyDescent="0.3">
      <c r="A138" s="13"/>
      <c r="B138" s="14"/>
      <c r="C138" s="14"/>
      <c r="D138" s="14"/>
      <c r="E138" s="15"/>
    </row>
    <row r="139" spans="1:5" ht="14.25" customHeight="1" x14ac:dyDescent="0.3">
      <c r="A139" s="13"/>
      <c r="B139" s="14"/>
      <c r="C139" s="14"/>
      <c r="D139" s="14"/>
      <c r="E139" s="15"/>
    </row>
    <row r="140" spans="1:5" ht="14.25" customHeight="1" x14ac:dyDescent="0.3">
      <c r="A140" s="13"/>
      <c r="B140" s="14"/>
      <c r="C140" s="14"/>
      <c r="D140" s="14"/>
      <c r="E140" s="15"/>
    </row>
    <row r="141" spans="1:5" ht="14.25" customHeight="1" x14ac:dyDescent="0.3">
      <c r="A141" s="13"/>
      <c r="B141" s="14"/>
      <c r="C141" s="14"/>
      <c r="D141" s="14"/>
      <c r="E141" s="15"/>
    </row>
    <row r="142" spans="1:5" ht="14.25" customHeight="1" x14ac:dyDescent="0.3">
      <c r="A142" s="13"/>
      <c r="B142" s="14"/>
      <c r="C142" s="14"/>
      <c r="D142" s="14"/>
      <c r="E142" s="15"/>
    </row>
    <row r="143" spans="1:5" ht="14.25" customHeight="1" x14ac:dyDescent="0.3">
      <c r="A143" s="13"/>
      <c r="B143" s="14"/>
      <c r="C143" s="14"/>
      <c r="D143" s="14"/>
      <c r="E143" s="15"/>
    </row>
    <row r="144" spans="1:5" ht="14.25" customHeight="1" x14ac:dyDescent="0.3">
      <c r="A144" s="13"/>
      <c r="B144" s="14"/>
      <c r="C144" s="14"/>
      <c r="D144" s="14"/>
      <c r="E144" s="15"/>
    </row>
    <row r="145" spans="1:5" ht="14.25" customHeight="1" x14ac:dyDescent="0.3">
      <c r="A145" s="13"/>
      <c r="B145" s="14"/>
      <c r="C145" s="14"/>
      <c r="D145" s="14"/>
      <c r="E145" s="15"/>
    </row>
    <row r="146" spans="1:5" ht="14.25" customHeight="1" x14ac:dyDescent="0.3">
      <c r="A146" s="13"/>
      <c r="B146" s="14"/>
      <c r="C146" s="14"/>
      <c r="D146" s="14"/>
      <c r="E146" s="15"/>
    </row>
    <row r="147" spans="1:5" ht="14.25" customHeight="1" x14ac:dyDescent="0.3">
      <c r="A147" s="13"/>
      <c r="B147" s="14"/>
      <c r="C147" s="14"/>
      <c r="D147" s="14"/>
      <c r="E147" s="15"/>
    </row>
    <row r="148" spans="1:5" ht="14.25" customHeight="1" x14ac:dyDescent="0.3">
      <c r="A148" s="13"/>
      <c r="B148" s="14"/>
      <c r="C148" s="14"/>
      <c r="D148" s="14"/>
      <c r="E148" s="15"/>
    </row>
    <row r="149" spans="1:5" ht="14.25" customHeight="1" x14ac:dyDescent="0.3">
      <c r="A149" s="13"/>
      <c r="B149" s="14"/>
      <c r="C149" s="14"/>
      <c r="D149" s="14"/>
      <c r="E149" s="15"/>
    </row>
    <row r="150" spans="1:5" ht="14.25" customHeight="1" x14ac:dyDescent="0.3">
      <c r="A150" s="13"/>
      <c r="B150" s="14"/>
      <c r="C150" s="14"/>
      <c r="D150" s="14"/>
      <c r="E150" s="15"/>
    </row>
    <row r="151" spans="1:5" ht="14.25" customHeight="1" x14ac:dyDescent="0.3">
      <c r="A151" s="14"/>
      <c r="B151" s="14"/>
      <c r="C151" s="14"/>
      <c r="D151" s="14"/>
      <c r="E151" s="15"/>
    </row>
    <row r="152" spans="1:5" ht="14.25" customHeight="1" x14ac:dyDescent="0.3">
      <c r="A152" s="14"/>
      <c r="B152" s="14"/>
      <c r="C152" s="14"/>
      <c r="D152" s="14"/>
      <c r="E152" s="15"/>
    </row>
    <row r="153" spans="1:5" ht="14.25" customHeight="1" x14ac:dyDescent="0.3">
      <c r="A153" s="14"/>
      <c r="B153" s="14"/>
      <c r="C153" s="14"/>
      <c r="D153" s="14"/>
      <c r="E153" s="15"/>
    </row>
    <row r="154" spans="1:5" ht="14.25" customHeight="1" x14ac:dyDescent="0.3">
      <c r="A154" s="14"/>
      <c r="B154" s="14"/>
      <c r="C154" s="14"/>
      <c r="D154" s="14"/>
      <c r="E154" s="15"/>
    </row>
    <row r="155" spans="1:5" ht="14.25" customHeight="1" x14ac:dyDescent="0.3">
      <c r="A155" s="14"/>
      <c r="B155" s="14"/>
      <c r="C155" s="14"/>
      <c r="D155" s="14"/>
      <c r="E155" s="15"/>
    </row>
    <row r="156" spans="1:5" ht="14.25" customHeight="1" x14ac:dyDescent="0.3">
      <c r="A156" s="14"/>
      <c r="B156" s="14"/>
      <c r="C156" s="14"/>
      <c r="D156" s="14"/>
      <c r="E156" s="15"/>
    </row>
    <row r="157" spans="1:5" ht="14.25" customHeight="1" x14ac:dyDescent="0.3">
      <c r="A157" s="14"/>
      <c r="B157" s="14"/>
      <c r="C157" s="14"/>
      <c r="D157" s="14"/>
      <c r="E157" s="15"/>
    </row>
    <row r="158" spans="1:5" ht="14.25" customHeight="1" x14ac:dyDescent="0.3">
      <c r="A158" s="14"/>
      <c r="B158" s="14"/>
      <c r="C158" s="14"/>
      <c r="D158" s="14"/>
      <c r="E158" s="15"/>
    </row>
    <row r="159" spans="1:5" ht="14.25" customHeight="1" x14ac:dyDescent="0.3">
      <c r="A159" s="14"/>
      <c r="B159" s="14"/>
      <c r="C159" s="14"/>
      <c r="D159" s="14"/>
      <c r="E159" s="15"/>
    </row>
    <row r="160" spans="1:5" ht="14.25" customHeight="1" x14ac:dyDescent="0.3">
      <c r="A160" s="14"/>
      <c r="B160" s="14"/>
      <c r="C160" s="14"/>
      <c r="D160" s="14"/>
      <c r="E160" s="15"/>
    </row>
    <row r="161" spans="1:5" ht="14.25" customHeight="1" x14ac:dyDescent="0.3">
      <c r="A161" s="14"/>
      <c r="B161" s="14"/>
      <c r="C161" s="14"/>
      <c r="D161" s="14"/>
      <c r="E161" s="15"/>
    </row>
    <row r="162" spans="1:5" ht="14.25" customHeight="1" x14ac:dyDescent="0.3">
      <c r="A162" s="14"/>
      <c r="B162" s="14"/>
      <c r="C162" s="14"/>
      <c r="D162" s="14"/>
      <c r="E162" s="15"/>
    </row>
    <row r="163" spans="1:5" ht="14.25" customHeight="1" x14ac:dyDescent="0.3">
      <c r="A163" s="14"/>
      <c r="B163" s="14"/>
      <c r="C163" s="14"/>
      <c r="D163" s="14"/>
      <c r="E163" s="15"/>
    </row>
    <row r="164" spans="1:5" ht="14.25" customHeight="1" x14ac:dyDescent="0.3">
      <c r="A164" s="14"/>
      <c r="B164" s="14"/>
      <c r="C164" s="14"/>
      <c r="D164" s="14"/>
      <c r="E164" s="15"/>
    </row>
    <row r="165" spans="1:5" ht="14.25" customHeight="1" x14ac:dyDescent="0.3">
      <c r="A165" s="14"/>
      <c r="B165" s="14"/>
      <c r="C165" s="14"/>
      <c r="D165" s="14"/>
      <c r="E165" s="15"/>
    </row>
    <row r="166" spans="1:5" ht="14.25" customHeight="1" x14ac:dyDescent="0.3">
      <c r="A166" s="14"/>
      <c r="B166" s="14"/>
      <c r="C166" s="14"/>
      <c r="D166" s="14"/>
      <c r="E166" s="15"/>
    </row>
    <row r="167" spans="1:5" ht="14.25" customHeight="1" x14ac:dyDescent="0.3">
      <c r="A167" s="14"/>
      <c r="B167" s="14"/>
      <c r="C167" s="14"/>
      <c r="D167" s="14"/>
      <c r="E167" s="15"/>
    </row>
    <row r="168" spans="1:5" ht="14.25" customHeight="1" x14ac:dyDescent="0.3">
      <c r="A168" s="14"/>
      <c r="B168" s="14"/>
      <c r="C168" s="14"/>
      <c r="D168" s="14"/>
      <c r="E168" s="15"/>
    </row>
    <row r="169" spans="1:5" ht="14.25" customHeight="1" x14ac:dyDescent="0.3">
      <c r="A169" s="14"/>
      <c r="B169" s="14"/>
      <c r="C169" s="14"/>
      <c r="D169" s="14"/>
      <c r="E169" s="15"/>
    </row>
    <row r="170" spans="1:5" ht="14.25" customHeight="1" x14ac:dyDescent="0.3">
      <c r="A170" s="14"/>
      <c r="B170" s="14"/>
      <c r="C170" s="14"/>
      <c r="D170" s="14"/>
      <c r="E170" s="15"/>
    </row>
    <row r="171" spans="1:5" ht="14.25" customHeight="1" x14ac:dyDescent="0.3">
      <c r="A171" s="14"/>
      <c r="B171" s="14"/>
      <c r="C171" s="14"/>
      <c r="D171" s="14"/>
      <c r="E171" s="15"/>
    </row>
    <row r="172" spans="1:5" ht="14.25" customHeight="1" x14ac:dyDescent="0.3">
      <c r="A172" s="14"/>
      <c r="B172" s="14"/>
      <c r="C172" s="14"/>
      <c r="D172" s="14"/>
      <c r="E172" s="15"/>
    </row>
    <row r="173" spans="1:5" ht="14.25" customHeight="1" x14ac:dyDescent="0.3">
      <c r="A173" s="14"/>
      <c r="B173" s="14"/>
      <c r="C173" s="14"/>
      <c r="D173" s="14"/>
      <c r="E173" s="15"/>
    </row>
    <row r="174" spans="1:5" ht="14.25" customHeight="1" x14ac:dyDescent="0.3">
      <c r="A174" s="14"/>
      <c r="B174" s="14"/>
      <c r="C174" s="14"/>
      <c r="D174" s="14"/>
      <c r="E174" s="15"/>
    </row>
    <row r="175" spans="1:5" ht="14.25" customHeight="1" x14ac:dyDescent="0.3">
      <c r="A175" s="14"/>
      <c r="B175" s="14"/>
      <c r="C175" s="14"/>
      <c r="D175" s="14"/>
      <c r="E175" s="15"/>
    </row>
    <row r="176" spans="1:5" ht="14.25" customHeight="1" x14ac:dyDescent="0.3">
      <c r="A176" s="14"/>
      <c r="B176" s="14"/>
      <c r="C176" s="14"/>
      <c r="D176" s="14"/>
      <c r="E176" s="15"/>
    </row>
    <row r="177" spans="1:5" ht="14.25" customHeight="1" x14ac:dyDescent="0.3">
      <c r="A177" s="14"/>
      <c r="B177" s="14"/>
      <c r="C177" s="14"/>
      <c r="D177" s="14"/>
      <c r="E177" s="15"/>
    </row>
    <row r="178" spans="1:5" ht="14.25" customHeight="1" x14ac:dyDescent="0.3">
      <c r="A178" s="14"/>
      <c r="B178" s="14"/>
      <c r="C178" s="14"/>
      <c r="D178" s="14"/>
      <c r="E178" s="15"/>
    </row>
    <row r="179" spans="1:5" ht="14.25" customHeight="1" x14ac:dyDescent="0.3">
      <c r="A179" s="14"/>
      <c r="B179" s="14"/>
      <c r="C179" s="14"/>
      <c r="D179" s="14"/>
      <c r="E179" s="15"/>
    </row>
    <row r="180" spans="1:5" ht="14.25" customHeight="1" x14ac:dyDescent="0.3">
      <c r="A180" s="14"/>
      <c r="B180" s="14"/>
      <c r="C180" s="14"/>
      <c r="D180" s="14"/>
      <c r="E180" s="15"/>
    </row>
    <row r="181" spans="1:5" ht="14.25" customHeight="1" x14ac:dyDescent="0.3">
      <c r="A181" s="14"/>
      <c r="B181" s="14"/>
      <c r="C181" s="14"/>
      <c r="D181" s="14"/>
      <c r="E181" s="15"/>
    </row>
    <row r="182" spans="1:5" ht="14.25" customHeight="1" x14ac:dyDescent="0.3">
      <c r="A182" s="14"/>
      <c r="B182" s="14"/>
      <c r="C182" s="14"/>
      <c r="D182" s="14"/>
      <c r="E182" s="15"/>
    </row>
    <row r="183" spans="1:5" ht="14.25" customHeight="1" x14ac:dyDescent="0.3">
      <c r="A183" s="14"/>
      <c r="B183" s="14"/>
      <c r="C183" s="14"/>
      <c r="D183" s="14"/>
      <c r="E183" s="15"/>
    </row>
    <row r="184" spans="1:5" ht="14.25" customHeight="1" x14ac:dyDescent="0.3">
      <c r="A184" s="14"/>
      <c r="B184" s="14"/>
      <c r="C184" s="14"/>
      <c r="D184" s="14"/>
      <c r="E184" s="15"/>
    </row>
    <row r="185" spans="1:5" ht="14.25" customHeight="1" x14ac:dyDescent="0.3">
      <c r="A185" s="14"/>
      <c r="B185" s="14"/>
      <c r="C185" s="14"/>
      <c r="D185" s="14"/>
      <c r="E185" s="15"/>
    </row>
    <row r="186" spans="1:5" ht="14.25" customHeight="1" x14ac:dyDescent="0.3">
      <c r="A186" s="14"/>
      <c r="B186" s="14"/>
      <c r="C186" s="14"/>
      <c r="D186" s="14"/>
      <c r="E186" s="15"/>
    </row>
    <row r="187" spans="1:5" ht="14.25" customHeight="1" x14ac:dyDescent="0.3">
      <c r="A187" s="14"/>
      <c r="B187" s="14"/>
      <c r="C187" s="14"/>
      <c r="D187" s="14"/>
      <c r="E187" s="15"/>
    </row>
    <row r="188" spans="1:5" ht="14.25" customHeight="1" x14ac:dyDescent="0.3">
      <c r="A188" s="14"/>
      <c r="B188" s="14"/>
      <c r="C188" s="14"/>
      <c r="D188" s="14"/>
      <c r="E188" s="15"/>
    </row>
    <row r="189" spans="1:5" ht="14.25" customHeight="1" x14ac:dyDescent="0.3">
      <c r="A189" s="14"/>
      <c r="B189" s="14"/>
      <c r="C189" s="14"/>
      <c r="D189" s="14"/>
      <c r="E189" s="15"/>
    </row>
    <row r="190" spans="1:5" ht="14.25" customHeight="1" x14ac:dyDescent="0.3">
      <c r="A190" s="14"/>
      <c r="B190" s="14"/>
      <c r="C190" s="14"/>
      <c r="D190" s="14"/>
      <c r="E190" s="15"/>
    </row>
    <row r="191" spans="1:5" ht="14.25" customHeight="1" x14ac:dyDescent="0.3">
      <c r="A191" s="14"/>
      <c r="B191" s="14"/>
      <c r="C191" s="14"/>
      <c r="D191" s="14"/>
      <c r="E191" s="15"/>
    </row>
    <row r="192" spans="1:5" ht="14.25" customHeight="1" x14ac:dyDescent="0.3">
      <c r="A192" s="14"/>
      <c r="B192" s="14"/>
      <c r="C192" s="14"/>
      <c r="D192" s="14"/>
      <c r="E192" s="15"/>
    </row>
    <row r="193" spans="1:5" ht="14.25" customHeight="1" x14ac:dyDescent="0.3">
      <c r="A193" s="14"/>
      <c r="B193" s="14"/>
      <c r="C193" s="14"/>
      <c r="D193" s="14"/>
      <c r="E193" s="15"/>
    </row>
    <row r="194" spans="1:5" ht="14.25" customHeight="1" x14ac:dyDescent="0.3">
      <c r="A194" s="14"/>
      <c r="B194" s="14"/>
      <c r="C194" s="14"/>
      <c r="D194" s="14"/>
      <c r="E194" s="15"/>
    </row>
    <row r="195" spans="1:5" ht="14.25" customHeight="1" x14ac:dyDescent="0.3">
      <c r="A195" s="14"/>
      <c r="B195" s="14"/>
      <c r="C195" s="14"/>
      <c r="D195" s="14"/>
      <c r="E195" s="15"/>
    </row>
    <row r="196" spans="1:5" ht="14.25" customHeight="1" x14ac:dyDescent="0.3">
      <c r="A196" s="14"/>
      <c r="B196" s="14"/>
      <c r="C196" s="14"/>
      <c r="D196" s="14"/>
      <c r="E196" s="15"/>
    </row>
    <row r="197" spans="1:5" ht="14.25" customHeight="1" x14ac:dyDescent="0.3">
      <c r="A197" s="14"/>
      <c r="B197" s="14"/>
      <c r="C197" s="14"/>
      <c r="D197" s="14"/>
      <c r="E197" s="15"/>
    </row>
    <row r="198" spans="1:5" ht="14.25" customHeight="1" x14ac:dyDescent="0.3">
      <c r="A198" s="14"/>
      <c r="B198" s="14"/>
      <c r="C198" s="14"/>
      <c r="D198" s="14"/>
      <c r="E198" s="15"/>
    </row>
    <row r="199" spans="1:5" ht="14.25" customHeight="1" x14ac:dyDescent="0.3">
      <c r="A199" s="14"/>
      <c r="B199" s="14"/>
      <c r="C199" s="14"/>
      <c r="D199" s="14"/>
      <c r="E199" s="15"/>
    </row>
    <row r="200" spans="1:5" ht="14.25" customHeight="1" x14ac:dyDescent="0.3">
      <c r="A200" s="14"/>
      <c r="B200" s="14"/>
      <c r="C200" s="14"/>
      <c r="D200" s="14"/>
      <c r="E200" s="15"/>
    </row>
    <row r="201" spans="1:5" ht="14.25" customHeight="1" x14ac:dyDescent="0.3">
      <c r="A201" s="14"/>
      <c r="B201" s="14"/>
      <c r="C201" s="14"/>
      <c r="D201" s="14"/>
      <c r="E201" s="15"/>
    </row>
    <row r="202" spans="1:5" ht="14.25" customHeight="1" x14ac:dyDescent="0.3">
      <c r="A202" s="14"/>
      <c r="B202" s="14"/>
      <c r="C202" s="14"/>
      <c r="D202" s="14"/>
      <c r="E202" s="15"/>
    </row>
    <row r="203" spans="1:5" ht="14.25" customHeight="1" x14ac:dyDescent="0.3">
      <c r="A203" s="14"/>
      <c r="B203" s="14"/>
      <c r="C203" s="14"/>
      <c r="D203" s="14"/>
      <c r="E203" s="15"/>
    </row>
    <row r="204" spans="1:5" ht="14.25" customHeight="1" x14ac:dyDescent="0.3">
      <c r="A204" s="14"/>
      <c r="B204" s="14"/>
      <c r="C204" s="14"/>
      <c r="D204" s="14"/>
      <c r="E204" s="15"/>
    </row>
    <row r="205" spans="1:5" ht="14.25" customHeight="1" x14ac:dyDescent="0.3">
      <c r="A205" s="14"/>
      <c r="B205" s="14"/>
      <c r="C205" s="14"/>
      <c r="D205" s="14"/>
      <c r="E205" s="15"/>
    </row>
    <row r="206" spans="1:5" ht="14.25" customHeight="1" x14ac:dyDescent="0.3">
      <c r="A206" s="14"/>
      <c r="B206" s="14"/>
      <c r="C206" s="14"/>
      <c r="D206" s="14"/>
      <c r="E206" s="15"/>
    </row>
    <row r="207" spans="1:5" ht="14.25" customHeight="1" x14ac:dyDescent="0.3">
      <c r="A207" s="14"/>
      <c r="B207" s="14"/>
      <c r="C207" s="14"/>
      <c r="D207" s="14"/>
      <c r="E207" s="15"/>
    </row>
    <row r="208" spans="1:5" ht="14.25" customHeight="1" x14ac:dyDescent="0.3">
      <c r="A208" s="14"/>
      <c r="B208" s="14"/>
      <c r="C208" s="14"/>
      <c r="D208" s="14"/>
      <c r="E208" s="15"/>
    </row>
    <row r="209" spans="1:5" ht="14.25" customHeight="1" x14ac:dyDescent="0.3">
      <c r="A209" s="14"/>
      <c r="B209" s="14"/>
      <c r="C209" s="14"/>
      <c r="D209" s="14"/>
      <c r="E209" s="15"/>
    </row>
    <row r="210" spans="1:5" ht="14.25" customHeight="1" x14ac:dyDescent="0.3">
      <c r="A210" s="14"/>
      <c r="B210" s="14"/>
      <c r="C210" s="14"/>
      <c r="D210" s="14"/>
      <c r="E210" s="15"/>
    </row>
    <row r="211" spans="1:5" ht="14.25" customHeight="1" x14ac:dyDescent="0.3">
      <c r="A211" s="14"/>
      <c r="B211" s="14"/>
      <c r="C211" s="14"/>
      <c r="D211" s="14"/>
      <c r="E211" s="15"/>
    </row>
    <row r="212" spans="1:5" ht="14.25" customHeight="1" x14ac:dyDescent="0.3">
      <c r="A212" s="14"/>
      <c r="B212" s="14"/>
      <c r="C212" s="14"/>
      <c r="D212" s="14"/>
      <c r="E212" s="15"/>
    </row>
    <row r="213" spans="1:5" ht="14.25" customHeight="1" x14ac:dyDescent="0.3">
      <c r="A213" s="14"/>
      <c r="B213" s="14"/>
      <c r="C213" s="14"/>
      <c r="D213" s="14"/>
      <c r="E213" s="15"/>
    </row>
    <row r="214" spans="1:5" ht="14.25" customHeight="1" x14ac:dyDescent="0.3">
      <c r="A214" s="14"/>
      <c r="B214" s="14"/>
      <c r="C214" s="14"/>
      <c r="D214" s="14"/>
      <c r="E214" s="15"/>
    </row>
    <row r="215" spans="1:5" ht="14.25" customHeight="1" x14ac:dyDescent="0.3">
      <c r="A215" s="14"/>
      <c r="B215" s="14"/>
      <c r="C215" s="14"/>
      <c r="D215" s="14"/>
      <c r="E215" s="15"/>
    </row>
    <row r="216" spans="1:5" ht="14.25" customHeight="1" x14ac:dyDescent="0.3">
      <c r="A216" s="14"/>
      <c r="B216" s="14"/>
      <c r="C216" s="14"/>
      <c r="D216" s="14"/>
      <c r="E216" s="15"/>
    </row>
    <row r="217" spans="1:5" ht="14.25" customHeight="1" x14ac:dyDescent="0.3">
      <c r="A217" s="14"/>
      <c r="B217" s="14"/>
      <c r="C217" s="14"/>
      <c r="D217" s="14"/>
      <c r="E217" s="15"/>
    </row>
    <row r="218" spans="1:5" ht="14.25" customHeight="1" x14ac:dyDescent="0.3">
      <c r="A218" s="14"/>
      <c r="B218" s="14"/>
      <c r="C218" s="14"/>
      <c r="D218" s="14"/>
      <c r="E218" s="15"/>
    </row>
    <row r="219" spans="1:5" ht="14.25" customHeight="1" x14ac:dyDescent="0.3">
      <c r="A219" s="14"/>
      <c r="B219" s="14"/>
      <c r="C219" s="14"/>
      <c r="D219" s="14"/>
      <c r="E219" s="15"/>
    </row>
    <row r="220" spans="1:5" ht="14.25" customHeight="1" x14ac:dyDescent="0.3">
      <c r="A220" s="14"/>
      <c r="B220" s="14"/>
      <c r="C220" s="14"/>
      <c r="D220" s="14"/>
      <c r="E220" s="15"/>
    </row>
    <row r="221" spans="1:5" ht="14.25" customHeight="1" x14ac:dyDescent="0.3">
      <c r="A221" s="14"/>
      <c r="B221" s="14"/>
      <c r="C221" s="14"/>
      <c r="D221" s="14"/>
      <c r="E221" s="15"/>
    </row>
    <row r="222" spans="1:5" ht="14.25" customHeight="1" x14ac:dyDescent="0.3">
      <c r="A222" s="14"/>
      <c r="B222" s="14"/>
      <c r="C222" s="14"/>
      <c r="D222" s="14"/>
      <c r="E222" s="15"/>
    </row>
    <row r="223" spans="1:5" ht="14.25" customHeight="1" x14ac:dyDescent="0.3">
      <c r="A223" s="14"/>
      <c r="B223" s="14"/>
      <c r="C223" s="14"/>
      <c r="D223" s="14"/>
      <c r="E223" s="15"/>
    </row>
    <row r="224" spans="1:5" ht="14.25" customHeight="1" x14ac:dyDescent="0.3">
      <c r="A224" s="14"/>
      <c r="B224" s="14"/>
      <c r="C224" s="14"/>
      <c r="D224" s="14"/>
      <c r="E224" s="15"/>
    </row>
    <row r="225" spans="1:5" ht="14.25" customHeight="1" x14ac:dyDescent="0.3">
      <c r="A225" s="14"/>
      <c r="B225" s="14"/>
      <c r="C225" s="14"/>
      <c r="D225" s="14"/>
      <c r="E225" s="15"/>
    </row>
    <row r="226" spans="1:5" ht="14.25" customHeight="1" x14ac:dyDescent="0.3">
      <c r="A226" s="14"/>
      <c r="B226" s="14"/>
      <c r="C226" s="14"/>
      <c r="D226" s="14"/>
      <c r="E226" s="15"/>
    </row>
    <row r="227" spans="1:5" ht="14.25" customHeight="1" x14ac:dyDescent="0.3">
      <c r="A227" s="14"/>
      <c r="B227" s="14"/>
      <c r="C227" s="14"/>
      <c r="D227" s="14"/>
      <c r="E227" s="15"/>
    </row>
    <row r="228" spans="1:5" ht="14.25" customHeight="1" x14ac:dyDescent="0.3">
      <c r="A228" s="14"/>
      <c r="B228" s="14"/>
      <c r="C228" s="14"/>
      <c r="D228" s="14"/>
      <c r="E228" s="15"/>
    </row>
    <row r="229" spans="1:5" ht="14.25" customHeight="1" x14ac:dyDescent="0.3">
      <c r="A229" s="14"/>
      <c r="B229" s="14"/>
      <c r="C229" s="14"/>
      <c r="D229" s="14"/>
      <c r="E229" s="15"/>
    </row>
    <row r="230" spans="1:5" ht="14.25" customHeight="1" x14ac:dyDescent="0.3">
      <c r="A230" s="14"/>
      <c r="B230" s="14"/>
      <c r="C230" s="14"/>
      <c r="D230" s="14"/>
      <c r="E230" s="15"/>
    </row>
    <row r="231" spans="1:5" ht="14.25" customHeight="1" x14ac:dyDescent="0.3">
      <c r="A231" s="14"/>
      <c r="B231" s="14"/>
      <c r="C231" s="14"/>
      <c r="D231" s="14"/>
      <c r="E231" s="15"/>
    </row>
    <row r="232" spans="1:5" ht="14.25" customHeight="1" x14ac:dyDescent="0.3">
      <c r="A232" s="14"/>
      <c r="B232" s="14"/>
      <c r="C232" s="14"/>
      <c r="D232" s="14"/>
      <c r="E232" s="15"/>
    </row>
    <row r="233" spans="1:5" ht="14.25" customHeight="1" x14ac:dyDescent="0.3">
      <c r="A233" s="14"/>
      <c r="B233" s="14"/>
      <c r="C233" s="14"/>
      <c r="D233" s="14"/>
      <c r="E233" s="15"/>
    </row>
    <row r="234" spans="1:5" ht="14.25" customHeight="1" x14ac:dyDescent="0.3">
      <c r="A234" s="14"/>
      <c r="B234" s="14"/>
      <c r="C234" s="14"/>
      <c r="D234" s="14"/>
      <c r="E234" s="15"/>
    </row>
    <row r="235" spans="1:5" ht="14.25" customHeight="1" x14ac:dyDescent="0.3">
      <c r="A235" s="14"/>
      <c r="B235" s="14"/>
      <c r="C235" s="14"/>
      <c r="D235" s="14"/>
      <c r="E235" s="15"/>
    </row>
    <row r="236" spans="1:5" ht="14.25" customHeight="1" x14ac:dyDescent="0.3">
      <c r="A236" s="14"/>
      <c r="B236" s="14"/>
      <c r="C236" s="14"/>
      <c r="D236" s="14"/>
      <c r="E236" s="15"/>
    </row>
    <row r="237" spans="1:5" ht="14.25" customHeight="1" x14ac:dyDescent="0.3">
      <c r="A237" s="14"/>
      <c r="B237" s="14"/>
      <c r="C237" s="14"/>
      <c r="D237" s="14"/>
      <c r="E237" s="15"/>
    </row>
    <row r="238" spans="1:5" ht="14.25" customHeight="1" x14ac:dyDescent="0.3">
      <c r="A238" s="14"/>
      <c r="B238" s="14"/>
      <c r="C238" s="14"/>
      <c r="D238" s="14"/>
      <c r="E238" s="15"/>
    </row>
    <row r="239" spans="1:5" ht="14.25" customHeight="1" x14ac:dyDescent="0.3">
      <c r="A239" s="14"/>
      <c r="B239" s="14"/>
      <c r="C239" s="14"/>
      <c r="D239" s="14"/>
      <c r="E239" s="15"/>
    </row>
    <row r="240" spans="1:5" ht="14.25" customHeight="1" x14ac:dyDescent="0.3">
      <c r="A240" s="14"/>
      <c r="B240" s="14"/>
      <c r="C240" s="14"/>
      <c r="D240" s="14"/>
      <c r="E240" s="15"/>
    </row>
    <row r="241" spans="1:5" ht="14.25" customHeight="1" x14ac:dyDescent="0.3">
      <c r="A241" s="14"/>
      <c r="B241" s="14"/>
      <c r="C241" s="14"/>
      <c r="D241" s="14"/>
      <c r="E241" s="15"/>
    </row>
    <row r="242" spans="1:5" ht="14.25" customHeight="1" x14ac:dyDescent="0.3">
      <c r="A242" s="14"/>
      <c r="B242" s="14"/>
      <c r="C242" s="14"/>
      <c r="D242" s="14"/>
      <c r="E242" s="15"/>
    </row>
    <row r="243" spans="1:5" ht="14.25" customHeight="1" x14ac:dyDescent="0.3">
      <c r="A243" s="14"/>
      <c r="B243" s="14"/>
      <c r="C243" s="14"/>
      <c r="D243" s="14"/>
      <c r="E243" s="15"/>
    </row>
    <row r="244" spans="1:5" ht="14.25" customHeight="1" x14ac:dyDescent="0.3">
      <c r="A244" s="14"/>
      <c r="B244" s="14"/>
      <c r="C244" s="14"/>
      <c r="D244" s="14"/>
      <c r="E244" s="15"/>
    </row>
    <row r="245" spans="1:5" ht="14.25" customHeight="1" x14ac:dyDescent="0.3">
      <c r="A245" s="14"/>
      <c r="B245" s="14"/>
      <c r="C245" s="14"/>
      <c r="D245" s="14"/>
      <c r="E245" s="15"/>
    </row>
    <row r="246" spans="1:5" ht="14.25" customHeight="1" x14ac:dyDescent="0.3">
      <c r="A246" s="14"/>
      <c r="B246" s="14"/>
      <c r="C246" s="14"/>
      <c r="D246" s="14"/>
      <c r="E246" s="15"/>
    </row>
    <row r="247" spans="1:5" ht="14.25" customHeight="1" x14ac:dyDescent="0.3">
      <c r="A247" s="14"/>
      <c r="B247" s="14"/>
      <c r="C247" s="14"/>
      <c r="D247" s="14"/>
      <c r="E247" s="15"/>
    </row>
    <row r="248" spans="1:5" ht="14.25" customHeight="1" x14ac:dyDescent="0.3">
      <c r="A248" s="14"/>
      <c r="B248" s="14"/>
      <c r="C248" s="14"/>
      <c r="D248" s="14"/>
      <c r="E248" s="15"/>
    </row>
    <row r="249" spans="1:5" ht="14.25" customHeight="1" x14ac:dyDescent="0.3">
      <c r="A249" s="14"/>
      <c r="B249" s="14"/>
      <c r="C249" s="14"/>
      <c r="D249" s="14"/>
      <c r="E249" s="15"/>
    </row>
    <row r="250" spans="1:5" ht="14.25" customHeight="1" x14ac:dyDescent="0.3">
      <c r="A250" s="14"/>
      <c r="B250" s="14"/>
      <c r="C250" s="14"/>
      <c r="D250" s="14"/>
      <c r="E250" s="15"/>
    </row>
    <row r="251" spans="1:5" ht="14.25" customHeight="1" x14ac:dyDescent="0.3">
      <c r="A251" s="14"/>
      <c r="B251" s="14"/>
      <c r="C251" s="14"/>
      <c r="D251" s="14"/>
      <c r="E251" s="15"/>
    </row>
    <row r="252" spans="1:5" ht="14.25" customHeight="1" x14ac:dyDescent="0.3">
      <c r="A252" s="14"/>
      <c r="B252" s="14"/>
      <c r="C252" s="14"/>
      <c r="D252" s="14"/>
      <c r="E252" s="15"/>
    </row>
    <row r="253" spans="1:5" ht="14.25" customHeight="1" x14ac:dyDescent="0.3">
      <c r="A253" s="14"/>
      <c r="B253" s="14"/>
      <c r="C253" s="14"/>
      <c r="D253" s="14"/>
      <c r="E253" s="15"/>
    </row>
    <row r="254" spans="1:5" ht="14.25" customHeight="1" x14ac:dyDescent="0.3">
      <c r="A254" s="14"/>
      <c r="B254" s="14"/>
      <c r="C254" s="14"/>
      <c r="D254" s="14"/>
      <c r="E254" s="15"/>
    </row>
    <row r="255" spans="1:5" ht="14.25" customHeight="1" x14ac:dyDescent="0.3">
      <c r="A255" s="14"/>
      <c r="B255" s="14"/>
      <c r="C255" s="14"/>
      <c r="D255" s="14"/>
      <c r="E255" s="15"/>
    </row>
    <row r="256" spans="1:5" ht="14.25" customHeight="1" x14ac:dyDescent="0.3">
      <c r="A256" s="14"/>
      <c r="B256" s="14"/>
      <c r="C256" s="14"/>
      <c r="D256" s="14"/>
      <c r="E256" s="15"/>
    </row>
    <row r="257" spans="1:5" ht="14.25" customHeight="1" x14ac:dyDescent="0.3">
      <c r="A257" s="14"/>
      <c r="B257" s="14"/>
      <c r="C257" s="14"/>
      <c r="D257" s="14"/>
      <c r="E257" s="15"/>
    </row>
    <row r="258" spans="1:5" ht="14.25" customHeight="1" x14ac:dyDescent="0.3">
      <c r="A258" s="14"/>
      <c r="B258" s="14"/>
      <c r="C258" s="14"/>
      <c r="D258" s="14"/>
      <c r="E258" s="15"/>
    </row>
    <row r="259" spans="1:5" ht="14.25" customHeight="1" x14ac:dyDescent="0.3">
      <c r="A259" s="14"/>
      <c r="B259" s="14"/>
      <c r="C259" s="14"/>
      <c r="D259" s="14"/>
      <c r="E259" s="15"/>
    </row>
    <row r="260" spans="1:5" ht="14.25" customHeight="1" x14ac:dyDescent="0.3">
      <c r="A260" s="14"/>
      <c r="B260" s="14"/>
      <c r="C260" s="14"/>
      <c r="D260" s="14"/>
      <c r="E260" s="15"/>
    </row>
    <row r="261" spans="1:5" ht="14.25" customHeight="1" x14ac:dyDescent="0.3">
      <c r="A261" s="14"/>
      <c r="B261" s="14"/>
      <c r="C261" s="14"/>
      <c r="D261" s="14"/>
      <c r="E261" s="15"/>
    </row>
    <row r="262" spans="1:5" ht="14.25" customHeight="1" x14ac:dyDescent="0.3">
      <c r="A262" s="14"/>
      <c r="B262" s="14"/>
      <c r="C262" s="14"/>
      <c r="D262" s="14"/>
      <c r="E262" s="15"/>
    </row>
    <row r="263" spans="1:5" ht="14.25" customHeight="1" x14ac:dyDescent="0.3">
      <c r="A263" s="14"/>
      <c r="B263" s="14"/>
      <c r="C263" s="14"/>
      <c r="D263" s="14"/>
      <c r="E263" s="15"/>
    </row>
    <row r="264" spans="1:5" ht="14.25" customHeight="1" x14ac:dyDescent="0.3">
      <c r="A264" s="14"/>
      <c r="B264" s="14"/>
      <c r="C264" s="14"/>
      <c r="D264" s="14"/>
      <c r="E264" s="15"/>
    </row>
    <row r="265" spans="1:5" ht="14.25" customHeight="1" x14ac:dyDescent="0.3">
      <c r="A265" s="14"/>
      <c r="B265" s="14"/>
      <c r="C265" s="14"/>
      <c r="D265" s="14"/>
      <c r="E265" s="15"/>
    </row>
    <row r="266" spans="1:5" ht="14.25" customHeight="1" x14ac:dyDescent="0.3">
      <c r="A266" s="14"/>
      <c r="B266" s="14"/>
      <c r="C266" s="14"/>
      <c r="D266" s="14"/>
      <c r="E266" s="15"/>
    </row>
    <row r="267" spans="1:5" ht="14.25" customHeight="1" x14ac:dyDescent="0.3">
      <c r="A267" s="14"/>
      <c r="B267" s="14"/>
      <c r="C267" s="14"/>
      <c r="D267" s="14"/>
      <c r="E267" s="15"/>
    </row>
    <row r="268" spans="1:5" ht="14.25" customHeight="1" x14ac:dyDescent="0.3">
      <c r="A268" s="14"/>
      <c r="B268" s="14"/>
      <c r="C268" s="14"/>
      <c r="D268" s="14"/>
      <c r="E268" s="15"/>
    </row>
    <row r="269" spans="1:5" ht="14.25" customHeight="1" x14ac:dyDescent="0.3">
      <c r="A269" s="14"/>
      <c r="B269" s="14"/>
      <c r="C269" s="14"/>
      <c r="D269" s="14"/>
      <c r="E269" s="15"/>
    </row>
    <row r="270" spans="1:5" ht="14.25" customHeight="1" x14ac:dyDescent="0.3">
      <c r="A270" s="14"/>
      <c r="B270" s="14"/>
      <c r="C270" s="14"/>
      <c r="D270" s="14"/>
      <c r="E270" s="15"/>
    </row>
    <row r="271" spans="1:5" ht="14.25" customHeight="1" x14ac:dyDescent="0.3">
      <c r="A271" s="14"/>
      <c r="B271" s="14"/>
      <c r="C271" s="14"/>
      <c r="D271" s="14"/>
      <c r="E271" s="15"/>
    </row>
    <row r="272" spans="1:5" ht="14.25" customHeight="1" x14ac:dyDescent="0.3">
      <c r="A272" s="14"/>
      <c r="B272" s="14"/>
      <c r="C272" s="14"/>
      <c r="D272" s="14"/>
      <c r="E272" s="15"/>
    </row>
    <row r="273" spans="1:5" ht="14.25" customHeight="1" x14ac:dyDescent="0.3">
      <c r="A273" s="14"/>
      <c r="B273" s="14"/>
      <c r="C273" s="14"/>
      <c r="D273" s="14"/>
      <c r="E273" s="15"/>
    </row>
    <row r="274" spans="1:5" ht="14.25" customHeight="1" x14ac:dyDescent="0.3">
      <c r="A274" s="14"/>
      <c r="B274" s="14"/>
      <c r="C274" s="14"/>
      <c r="D274" s="14"/>
      <c r="E274" s="15"/>
    </row>
    <row r="275" spans="1:5" ht="14.25" customHeight="1" x14ac:dyDescent="0.3">
      <c r="A275" s="14"/>
      <c r="B275" s="14"/>
      <c r="C275" s="14"/>
      <c r="D275" s="14"/>
      <c r="E275" s="15"/>
    </row>
    <row r="276" spans="1:5" ht="14.25" customHeight="1" x14ac:dyDescent="0.3">
      <c r="A276" s="14"/>
      <c r="B276" s="14"/>
      <c r="C276" s="14"/>
      <c r="D276" s="14"/>
      <c r="E276" s="15"/>
    </row>
    <row r="277" spans="1:5" ht="14.25" customHeight="1" x14ac:dyDescent="0.3">
      <c r="A277" s="14"/>
      <c r="B277" s="14"/>
      <c r="C277" s="14"/>
      <c r="D277" s="14"/>
      <c r="E277" s="15"/>
    </row>
    <row r="278" spans="1:5" ht="14.25" customHeight="1" x14ac:dyDescent="0.3">
      <c r="A278" s="14"/>
      <c r="B278" s="14"/>
      <c r="C278" s="14"/>
      <c r="D278" s="14"/>
      <c r="E278" s="15"/>
    </row>
    <row r="279" spans="1:5" ht="14.25" customHeight="1" x14ac:dyDescent="0.3">
      <c r="A279" s="14"/>
      <c r="B279" s="14"/>
      <c r="C279" s="14"/>
      <c r="D279" s="14"/>
      <c r="E279" s="15"/>
    </row>
    <row r="280" spans="1:5" ht="14.25" customHeight="1" x14ac:dyDescent="0.3">
      <c r="A280" s="14"/>
      <c r="B280" s="14"/>
      <c r="C280" s="14"/>
      <c r="D280" s="14"/>
      <c r="E280" s="15"/>
    </row>
    <row r="281" spans="1:5" ht="14.25" customHeight="1" x14ac:dyDescent="0.3">
      <c r="A281" s="14"/>
      <c r="B281" s="14"/>
      <c r="C281" s="14"/>
      <c r="D281" s="14"/>
      <c r="E281" s="15"/>
    </row>
    <row r="282" spans="1:5" ht="14.25" customHeight="1" x14ac:dyDescent="0.3">
      <c r="A282" s="14"/>
      <c r="B282" s="14"/>
      <c r="C282" s="14"/>
      <c r="D282" s="14"/>
      <c r="E282" s="15"/>
    </row>
    <row r="283" spans="1:5" ht="14.25" customHeight="1" x14ac:dyDescent="0.3">
      <c r="A283" s="14"/>
      <c r="B283" s="14"/>
      <c r="C283" s="14"/>
      <c r="D283" s="14"/>
      <c r="E283" s="15"/>
    </row>
    <row r="284" spans="1:5" ht="14.25" customHeight="1" x14ac:dyDescent="0.3">
      <c r="A284" s="14"/>
      <c r="B284" s="14"/>
      <c r="C284" s="14"/>
      <c r="D284" s="14"/>
      <c r="E284" s="15"/>
    </row>
    <row r="285" spans="1:5" ht="14.25" customHeight="1" x14ac:dyDescent="0.3">
      <c r="A285" s="14"/>
      <c r="B285" s="14"/>
      <c r="C285" s="14"/>
      <c r="D285" s="14"/>
      <c r="E285" s="15"/>
    </row>
    <row r="286" spans="1:5" ht="14.25" customHeight="1" x14ac:dyDescent="0.3">
      <c r="A286" s="14"/>
      <c r="B286" s="14"/>
      <c r="C286" s="14"/>
      <c r="D286" s="14"/>
      <c r="E286" s="15"/>
    </row>
    <row r="287" spans="1:5" ht="14.25" customHeight="1" x14ac:dyDescent="0.3">
      <c r="A287" s="14"/>
      <c r="B287" s="14"/>
      <c r="C287" s="14"/>
      <c r="D287" s="14"/>
      <c r="E287" s="15"/>
    </row>
    <row r="288" spans="1:5" ht="14.25" customHeight="1" x14ac:dyDescent="0.3">
      <c r="A288" s="14"/>
      <c r="B288" s="14"/>
      <c r="C288" s="14"/>
      <c r="D288" s="14"/>
      <c r="E288" s="15"/>
    </row>
    <row r="289" spans="1:5" ht="14.25" customHeight="1" x14ac:dyDescent="0.3">
      <c r="A289" s="14"/>
      <c r="B289" s="14"/>
      <c r="C289" s="14"/>
      <c r="D289" s="14"/>
      <c r="E289" s="15"/>
    </row>
    <row r="290" spans="1:5" ht="14.25" customHeight="1" x14ac:dyDescent="0.3">
      <c r="A290" s="14"/>
      <c r="B290" s="14"/>
      <c r="C290" s="14"/>
      <c r="D290" s="14"/>
      <c r="E290" s="15"/>
    </row>
    <row r="291" spans="1:5" ht="14.25" customHeight="1" x14ac:dyDescent="0.3">
      <c r="A291" s="14"/>
      <c r="B291" s="14"/>
      <c r="C291" s="14"/>
      <c r="D291" s="14"/>
      <c r="E291" s="15"/>
    </row>
    <row r="292" spans="1:5" ht="14.25" customHeight="1" x14ac:dyDescent="0.3">
      <c r="A292" s="14"/>
      <c r="B292" s="14"/>
      <c r="C292" s="14"/>
      <c r="D292" s="14"/>
      <c r="E292" s="15"/>
    </row>
    <row r="293" spans="1:5" ht="14.25" customHeight="1" x14ac:dyDescent="0.3">
      <c r="A293" s="14"/>
      <c r="B293" s="14"/>
      <c r="C293" s="14"/>
      <c r="D293" s="14"/>
      <c r="E293" s="15"/>
    </row>
    <row r="294" spans="1:5" ht="14.25" customHeight="1" x14ac:dyDescent="0.3">
      <c r="A294" s="14"/>
      <c r="B294" s="14"/>
      <c r="C294" s="14"/>
      <c r="D294" s="14"/>
      <c r="E294" s="15"/>
    </row>
    <row r="295" spans="1:5" ht="14.25" customHeight="1" x14ac:dyDescent="0.3">
      <c r="A295" s="14"/>
      <c r="B295" s="14"/>
      <c r="C295" s="14"/>
      <c r="D295" s="14"/>
      <c r="E295" s="15"/>
    </row>
    <row r="296" spans="1:5" ht="14.25" customHeight="1" x14ac:dyDescent="0.3">
      <c r="A296" s="14"/>
      <c r="B296" s="14"/>
      <c r="C296" s="14"/>
      <c r="D296" s="14"/>
      <c r="E296" s="15"/>
    </row>
    <row r="297" spans="1:5" ht="14.25" customHeight="1" x14ac:dyDescent="0.3">
      <c r="A297" s="14"/>
      <c r="B297" s="14"/>
      <c r="C297" s="14"/>
      <c r="D297" s="14"/>
      <c r="E297" s="15"/>
    </row>
    <row r="298" spans="1:5" ht="14.25" customHeight="1" x14ac:dyDescent="0.3">
      <c r="A298" s="14"/>
      <c r="B298" s="14"/>
      <c r="C298" s="14"/>
      <c r="D298" s="14"/>
      <c r="E298" s="15"/>
    </row>
    <row r="299" spans="1:5" ht="14.25" customHeight="1" x14ac:dyDescent="0.3">
      <c r="A299" s="14"/>
      <c r="B299" s="14"/>
      <c r="C299" s="14"/>
      <c r="D299" s="14"/>
      <c r="E299" s="15"/>
    </row>
    <row r="300" spans="1:5" ht="14.25" customHeight="1" x14ac:dyDescent="0.3">
      <c r="A300" s="14"/>
      <c r="B300" s="14"/>
      <c r="C300" s="14"/>
      <c r="D300" s="14"/>
      <c r="E300" s="15"/>
    </row>
    <row r="301" spans="1:5" ht="14.25" customHeight="1" x14ac:dyDescent="0.3">
      <c r="A301" s="14"/>
      <c r="B301" s="14"/>
      <c r="C301" s="14"/>
      <c r="D301" s="14"/>
      <c r="E301" s="15"/>
    </row>
    <row r="302" spans="1:5" ht="14.25" customHeight="1" x14ac:dyDescent="0.3">
      <c r="A302" s="14"/>
      <c r="B302" s="14"/>
      <c r="C302" s="14"/>
      <c r="D302" s="14"/>
      <c r="E302" s="15"/>
    </row>
    <row r="303" spans="1:5" ht="14.25" customHeight="1" x14ac:dyDescent="0.3">
      <c r="A303" s="14"/>
      <c r="B303" s="14"/>
      <c r="C303" s="14"/>
      <c r="D303" s="14"/>
      <c r="E303" s="15"/>
    </row>
    <row r="304" spans="1:5" ht="14.25" customHeight="1" x14ac:dyDescent="0.3">
      <c r="A304" s="14"/>
      <c r="B304" s="14"/>
      <c r="C304" s="14"/>
      <c r="D304" s="14"/>
      <c r="E304" s="15"/>
    </row>
    <row r="305" spans="1:5" ht="14.25" customHeight="1" x14ac:dyDescent="0.3">
      <c r="A305" s="14"/>
      <c r="B305" s="14"/>
      <c r="C305" s="14"/>
      <c r="D305" s="14"/>
      <c r="E305" s="15"/>
    </row>
    <row r="306" spans="1:5" ht="14.25" customHeight="1" x14ac:dyDescent="0.3">
      <c r="A306" s="14"/>
      <c r="B306" s="14"/>
      <c r="C306" s="14"/>
      <c r="D306" s="14"/>
      <c r="E306" s="15"/>
    </row>
    <row r="307" spans="1:5" ht="14.25" customHeight="1" x14ac:dyDescent="0.3">
      <c r="A307" s="14"/>
      <c r="B307" s="14"/>
      <c r="C307" s="14"/>
      <c r="D307" s="14"/>
      <c r="E307" s="15"/>
    </row>
    <row r="308" spans="1:5" ht="14.25" customHeight="1" x14ac:dyDescent="0.3">
      <c r="A308" s="14"/>
      <c r="B308" s="14"/>
      <c r="C308" s="14"/>
      <c r="D308" s="14"/>
      <c r="E308" s="15"/>
    </row>
    <row r="309" spans="1:5" ht="14.25" customHeight="1" x14ac:dyDescent="0.3">
      <c r="A309" s="14"/>
      <c r="B309" s="14"/>
      <c r="C309" s="14"/>
      <c r="D309" s="14"/>
      <c r="E309" s="15"/>
    </row>
    <row r="310" spans="1:5" ht="14.25" customHeight="1" x14ac:dyDescent="0.3">
      <c r="A310" s="14"/>
      <c r="B310" s="14"/>
      <c r="C310" s="14"/>
      <c r="D310" s="14"/>
      <c r="E310" s="15"/>
    </row>
    <row r="311" spans="1:5" ht="14.25" customHeight="1" x14ac:dyDescent="0.3">
      <c r="A311" s="14"/>
      <c r="B311" s="14"/>
      <c r="C311" s="14"/>
      <c r="D311" s="14"/>
      <c r="E311" s="15"/>
    </row>
    <row r="312" spans="1:5" ht="14.25" customHeight="1" x14ac:dyDescent="0.3">
      <c r="A312" s="14"/>
      <c r="B312" s="14"/>
      <c r="C312" s="14"/>
      <c r="D312" s="14"/>
      <c r="E312" s="15"/>
    </row>
    <row r="313" spans="1:5" ht="14.25" customHeight="1" x14ac:dyDescent="0.3">
      <c r="A313" s="14"/>
      <c r="B313" s="14"/>
      <c r="C313" s="14"/>
      <c r="D313" s="14"/>
      <c r="E313" s="15"/>
    </row>
    <row r="314" spans="1:5" ht="14.25" customHeight="1" x14ac:dyDescent="0.3">
      <c r="A314" s="14"/>
      <c r="B314" s="14"/>
      <c r="C314" s="14"/>
      <c r="D314" s="14"/>
      <c r="E314" s="15"/>
    </row>
    <row r="315" spans="1:5" ht="14.25" customHeight="1" x14ac:dyDescent="0.3">
      <c r="A315" s="14"/>
      <c r="B315" s="14"/>
      <c r="C315" s="14"/>
      <c r="D315" s="14"/>
      <c r="E315" s="15"/>
    </row>
    <row r="316" spans="1:5" ht="14.25" customHeight="1" x14ac:dyDescent="0.3">
      <c r="A316" s="14"/>
      <c r="B316" s="14"/>
      <c r="C316" s="14"/>
      <c r="D316" s="14"/>
      <c r="E316" s="15"/>
    </row>
    <row r="317" spans="1:5" ht="14.25" customHeight="1" x14ac:dyDescent="0.3">
      <c r="A317" s="14"/>
      <c r="B317" s="14"/>
      <c r="C317" s="14"/>
      <c r="D317" s="14"/>
      <c r="E317" s="15"/>
    </row>
    <row r="318" spans="1:5" ht="14.25" customHeight="1" x14ac:dyDescent="0.3">
      <c r="A318" s="14"/>
      <c r="B318" s="14"/>
      <c r="C318" s="14"/>
      <c r="D318" s="14"/>
      <c r="E318" s="15"/>
    </row>
    <row r="319" spans="1:5" ht="14.25" customHeight="1" x14ac:dyDescent="0.3">
      <c r="A319" s="14"/>
      <c r="B319" s="14"/>
      <c r="C319" s="14"/>
      <c r="D319" s="14"/>
      <c r="E319" s="15"/>
    </row>
    <row r="320" spans="1:5" ht="14.25" customHeight="1" x14ac:dyDescent="0.3">
      <c r="A320" s="14"/>
      <c r="B320" s="14"/>
      <c r="C320" s="14"/>
      <c r="D320" s="14"/>
      <c r="E320" s="15"/>
    </row>
    <row r="321" spans="1:5" ht="14.25" customHeight="1" x14ac:dyDescent="0.3">
      <c r="A321" s="14"/>
      <c r="B321" s="14"/>
      <c r="C321" s="14"/>
      <c r="D321" s="14"/>
      <c r="E321" s="15"/>
    </row>
    <row r="322" spans="1:5" ht="14.25" customHeight="1" x14ac:dyDescent="0.3">
      <c r="A322" s="14"/>
      <c r="B322" s="14"/>
      <c r="C322" s="14"/>
      <c r="D322" s="14"/>
      <c r="E322" s="15"/>
    </row>
    <row r="323" spans="1:5" ht="14.25" customHeight="1" x14ac:dyDescent="0.3">
      <c r="A323" s="14"/>
      <c r="B323" s="14"/>
      <c r="C323" s="14"/>
      <c r="D323" s="14"/>
      <c r="E323" s="15"/>
    </row>
    <row r="324" spans="1:5" ht="14.25" customHeight="1" x14ac:dyDescent="0.3">
      <c r="A324" s="14"/>
      <c r="B324" s="14"/>
      <c r="C324" s="14"/>
      <c r="D324" s="14"/>
      <c r="E324" s="15"/>
    </row>
    <row r="325" spans="1:5" ht="14.25" customHeight="1" x14ac:dyDescent="0.3">
      <c r="A325" s="14"/>
      <c r="B325" s="14"/>
      <c r="C325" s="14"/>
      <c r="D325" s="14"/>
      <c r="E325" s="15"/>
    </row>
    <row r="326" spans="1:5" ht="14.25" customHeight="1" x14ac:dyDescent="0.3">
      <c r="A326" s="14"/>
      <c r="B326" s="14"/>
      <c r="C326" s="14"/>
      <c r="D326" s="14"/>
      <c r="E326" s="15"/>
    </row>
    <row r="327" spans="1:5" ht="14.25" customHeight="1" x14ac:dyDescent="0.3">
      <c r="A327" s="14"/>
      <c r="B327" s="14"/>
      <c r="C327" s="14"/>
      <c r="D327" s="14"/>
      <c r="E327" s="15"/>
    </row>
    <row r="328" spans="1:5" ht="14.25" customHeight="1" x14ac:dyDescent="0.3">
      <c r="A328" s="14"/>
      <c r="B328" s="14"/>
      <c r="C328" s="14"/>
      <c r="D328" s="14"/>
      <c r="E328" s="15"/>
    </row>
    <row r="329" spans="1:5" ht="14.25" customHeight="1" x14ac:dyDescent="0.3">
      <c r="A329" s="14"/>
      <c r="B329" s="14"/>
      <c r="C329" s="14"/>
      <c r="D329" s="14"/>
      <c r="E329" s="15"/>
    </row>
    <row r="330" spans="1:5" ht="14.25" customHeight="1" x14ac:dyDescent="0.3">
      <c r="A330" s="14"/>
      <c r="B330" s="14"/>
      <c r="C330" s="14"/>
      <c r="D330" s="14"/>
      <c r="E330" s="15"/>
    </row>
    <row r="331" spans="1:5" ht="14.25" customHeight="1" x14ac:dyDescent="0.3">
      <c r="A331" s="14"/>
      <c r="B331" s="14"/>
      <c r="C331" s="14"/>
      <c r="D331" s="14"/>
      <c r="E331" s="15"/>
    </row>
    <row r="332" spans="1:5" ht="14.25" customHeight="1" x14ac:dyDescent="0.3">
      <c r="A332" s="14"/>
      <c r="B332" s="14"/>
      <c r="C332" s="14"/>
      <c r="D332" s="14"/>
      <c r="E332" s="15"/>
    </row>
    <row r="333" spans="1:5" ht="14.25" customHeight="1" x14ac:dyDescent="0.3">
      <c r="A333" s="14"/>
      <c r="B333" s="14"/>
      <c r="C333" s="14"/>
      <c r="D333" s="14"/>
      <c r="E333" s="15"/>
    </row>
    <row r="334" spans="1:5" ht="14.25" customHeight="1" x14ac:dyDescent="0.3">
      <c r="A334" s="14"/>
      <c r="B334" s="14"/>
      <c r="C334" s="14"/>
      <c r="D334" s="14"/>
      <c r="E334" s="15"/>
    </row>
    <row r="335" spans="1:5" ht="14.25" customHeight="1" x14ac:dyDescent="0.3">
      <c r="A335" s="14"/>
      <c r="B335" s="14"/>
      <c r="C335" s="14"/>
      <c r="D335" s="14"/>
      <c r="E335" s="15"/>
    </row>
    <row r="336" spans="1:5" ht="14.25" customHeight="1" x14ac:dyDescent="0.3">
      <c r="A336" s="14"/>
      <c r="B336" s="14"/>
      <c r="C336" s="14"/>
      <c r="D336" s="14"/>
      <c r="E336" s="15"/>
    </row>
    <row r="337" spans="1:5" ht="14.25" customHeight="1" x14ac:dyDescent="0.3">
      <c r="A337" s="14"/>
      <c r="B337" s="14"/>
      <c r="C337" s="14"/>
      <c r="D337" s="14"/>
      <c r="E337" s="15"/>
    </row>
    <row r="338" spans="1:5" ht="14.25" customHeight="1" x14ac:dyDescent="0.3">
      <c r="A338" s="14"/>
      <c r="B338" s="14"/>
      <c r="C338" s="14"/>
      <c r="D338" s="14"/>
      <c r="E338" s="15"/>
    </row>
    <row r="339" spans="1:5" ht="14.25" customHeight="1" x14ac:dyDescent="0.3">
      <c r="A339" s="14"/>
      <c r="B339" s="14"/>
      <c r="C339" s="14"/>
      <c r="D339" s="14"/>
      <c r="E339" s="15"/>
    </row>
    <row r="340" spans="1:5" ht="14.25" customHeight="1" x14ac:dyDescent="0.3">
      <c r="A340" s="14"/>
      <c r="B340" s="14"/>
      <c r="C340" s="14"/>
      <c r="D340" s="14"/>
      <c r="E340" s="15"/>
    </row>
    <row r="341" spans="1:5" ht="14.25" customHeight="1" x14ac:dyDescent="0.3">
      <c r="A341" s="14"/>
      <c r="B341" s="14"/>
      <c r="C341" s="14"/>
      <c r="D341" s="14"/>
      <c r="E341" s="15"/>
    </row>
    <row r="342" spans="1:5" ht="14.25" customHeight="1" x14ac:dyDescent="0.3">
      <c r="A342" s="14"/>
      <c r="B342" s="14"/>
      <c r="C342" s="14"/>
      <c r="D342" s="14"/>
      <c r="E342" s="15"/>
    </row>
    <row r="343" spans="1:5" ht="14.25" customHeight="1" x14ac:dyDescent="0.3">
      <c r="A343" s="14"/>
      <c r="B343" s="14"/>
      <c r="C343" s="14"/>
      <c r="D343" s="14"/>
      <c r="E343" s="15"/>
    </row>
    <row r="344" spans="1:5" ht="14.25" customHeight="1" x14ac:dyDescent="0.3">
      <c r="A344" s="14"/>
      <c r="B344" s="14"/>
      <c r="C344" s="14"/>
      <c r="D344" s="14"/>
      <c r="E344" s="15"/>
    </row>
    <row r="345" spans="1:5" ht="14.25" customHeight="1" x14ac:dyDescent="0.3">
      <c r="A345" s="14"/>
      <c r="B345" s="14"/>
      <c r="C345" s="14"/>
      <c r="D345" s="14"/>
      <c r="E345" s="15"/>
    </row>
    <row r="346" spans="1:5" ht="14.25" customHeight="1" x14ac:dyDescent="0.3">
      <c r="A346" s="14"/>
      <c r="B346" s="14"/>
      <c r="C346" s="14"/>
      <c r="D346" s="14"/>
      <c r="E346" s="15"/>
    </row>
    <row r="347" spans="1:5" ht="14.25" customHeight="1" x14ac:dyDescent="0.3">
      <c r="A347" s="14"/>
      <c r="B347" s="14"/>
      <c r="C347" s="14"/>
      <c r="D347" s="14"/>
      <c r="E347" s="15"/>
    </row>
    <row r="348" spans="1:5" ht="14.25" customHeight="1" x14ac:dyDescent="0.3">
      <c r="A348" s="14"/>
      <c r="B348" s="14"/>
      <c r="C348" s="14"/>
      <c r="D348" s="14"/>
      <c r="E348" s="15"/>
    </row>
    <row r="349" spans="1:5" ht="14.25" customHeight="1" x14ac:dyDescent="0.3">
      <c r="A349" s="14"/>
      <c r="B349" s="14"/>
      <c r="C349" s="14"/>
      <c r="D349" s="14"/>
      <c r="E349" s="15"/>
    </row>
    <row r="350" spans="1:5" ht="14.25" customHeight="1" x14ac:dyDescent="0.3">
      <c r="A350" s="14"/>
      <c r="B350" s="14"/>
      <c r="C350" s="14"/>
      <c r="D350" s="14"/>
      <c r="E350" s="15"/>
    </row>
    <row r="351" spans="1:5" ht="14.25" customHeight="1" x14ac:dyDescent="0.3">
      <c r="A351" s="14"/>
      <c r="B351" s="14"/>
      <c r="C351" s="14"/>
      <c r="D351" s="14"/>
      <c r="E351" s="15"/>
    </row>
    <row r="352" spans="1:5" ht="14.25" customHeight="1" x14ac:dyDescent="0.3">
      <c r="A352" s="14"/>
      <c r="B352" s="14"/>
      <c r="C352" s="14"/>
      <c r="D352" s="14"/>
      <c r="E352" s="15"/>
    </row>
    <row r="353" spans="1:5" ht="14.25" customHeight="1" x14ac:dyDescent="0.3">
      <c r="A353" s="14"/>
      <c r="B353" s="14"/>
      <c r="C353" s="14"/>
      <c r="D353" s="14"/>
      <c r="E353" s="15"/>
    </row>
    <row r="354" spans="1:5" ht="14.25" customHeight="1" x14ac:dyDescent="0.3">
      <c r="A354" s="14"/>
      <c r="B354" s="14"/>
      <c r="C354" s="14"/>
      <c r="D354" s="14"/>
      <c r="E354" s="15"/>
    </row>
    <row r="355" spans="1:5" ht="14.25" customHeight="1" x14ac:dyDescent="0.3">
      <c r="A355" s="14"/>
      <c r="B355" s="14"/>
      <c r="C355" s="14"/>
      <c r="D355" s="14"/>
      <c r="E355" s="15"/>
    </row>
    <row r="356" spans="1:5" ht="14.25" customHeight="1" x14ac:dyDescent="0.3">
      <c r="A356" s="14"/>
      <c r="B356" s="14"/>
      <c r="C356" s="14"/>
      <c r="D356" s="14"/>
      <c r="E356" s="15"/>
    </row>
    <row r="357" spans="1:5" ht="14.25" customHeight="1" x14ac:dyDescent="0.3">
      <c r="A357" s="14"/>
      <c r="B357" s="14"/>
      <c r="C357" s="14"/>
      <c r="D357" s="14"/>
      <c r="E357" s="15"/>
    </row>
    <row r="358" spans="1:5" ht="14.25" customHeight="1" x14ac:dyDescent="0.3">
      <c r="A358" s="14"/>
      <c r="B358" s="14"/>
      <c r="C358" s="14"/>
      <c r="D358" s="14"/>
      <c r="E358" s="15"/>
    </row>
    <row r="359" spans="1:5" ht="14.25" customHeight="1" x14ac:dyDescent="0.3">
      <c r="A359" s="14"/>
      <c r="B359" s="14"/>
      <c r="C359" s="14"/>
      <c r="D359" s="14"/>
      <c r="E359" s="15"/>
    </row>
    <row r="360" spans="1:5" ht="14.25" customHeight="1" x14ac:dyDescent="0.3">
      <c r="A360" s="14"/>
      <c r="B360" s="14"/>
      <c r="C360" s="14"/>
      <c r="D360" s="14"/>
      <c r="E360" s="15"/>
    </row>
    <row r="361" spans="1:5" ht="14.25" customHeight="1" x14ac:dyDescent="0.3">
      <c r="A361" s="14"/>
      <c r="B361" s="14"/>
      <c r="C361" s="14"/>
      <c r="D361" s="14"/>
      <c r="E361" s="15"/>
    </row>
    <row r="362" spans="1:5" ht="14.25" customHeight="1" x14ac:dyDescent="0.3">
      <c r="A362" s="14"/>
      <c r="B362" s="14"/>
      <c r="C362" s="14"/>
      <c r="D362" s="14"/>
      <c r="E362" s="15"/>
    </row>
    <row r="363" spans="1:5" ht="14.25" customHeight="1" x14ac:dyDescent="0.3">
      <c r="A363" s="14"/>
      <c r="B363" s="14"/>
      <c r="C363" s="14"/>
      <c r="D363" s="14"/>
      <c r="E363" s="15"/>
    </row>
    <row r="364" spans="1:5" ht="14.25" customHeight="1" x14ac:dyDescent="0.3">
      <c r="A364" s="14"/>
      <c r="B364" s="14"/>
      <c r="C364" s="14"/>
      <c r="D364" s="14"/>
      <c r="E364" s="15"/>
    </row>
    <row r="365" spans="1:5" ht="14.25" customHeight="1" x14ac:dyDescent="0.3">
      <c r="A365" s="14"/>
      <c r="B365" s="14"/>
      <c r="C365" s="14"/>
      <c r="D365" s="14"/>
      <c r="E365" s="15"/>
    </row>
    <row r="366" spans="1:5" ht="14.25" customHeight="1" x14ac:dyDescent="0.3">
      <c r="A366" s="14"/>
      <c r="B366" s="14"/>
      <c r="C366" s="14"/>
      <c r="D366" s="14"/>
      <c r="E366" s="15"/>
    </row>
    <row r="367" spans="1:5" ht="14.25" customHeight="1" x14ac:dyDescent="0.3">
      <c r="A367" s="14"/>
      <c r="B367" s="14"/>
      <c r="C367" s="14"/>
      <c r="D367" s="14"/>
      <c r="E367" s="15"/>
    </row>
    <row r="368" spans="1:5" ht="14.25" customHeight="1" x14ac:dyDescent="0.3">
      <c r="A368" s="14"/>
      <c r="B368" s="14"/>
      <c r="C368" s="14"/>
      <c r="D368" s="14"/>
      <c r="E368" s="15"/>
    </row>
    <row r="369" spans="1:5" ht="14.25" customHeight="1" x14ac:dyDescent="0.3">
      <c r="A369" s="14"/>
      <c r="B369" s="14"/>
      <c r="C369" s="14"/>
      <c r="D369" s="14"/>
      <c r="E369" s="15"/>
    </row>
    <row r="370" spans="1:5" ht="14.25" customHeight="1" x14ac:dyDescent="0.3">
      <c r="A370" s="14"/>
      <c r="B370" s="14"/>
      <c r="C370" s="14"/>
      <c r="D370" s="14"/>
      <c r="E370" s="15"/>
    </row>
    <row r="371" spans="1:5" ht="14.25" customHeight="1" x14ac:dyDescent="0.3">
      <c r="A371" s="14"/>
      <c r="B371" s="14"/>
      <c r="C371" s="14"/>
      <c r="D371" s="14"/>
      <c r="E371" s="15"/>
    </row>
    <row r="372" spans="1:5" ht="14.25" customHeight="1" x14ac:dyDescent="0.3">
      <c r="A372" s="14"/>
      <c r="B372" s="14"/>
      <c r="C372" s="14"/>
      <c r="D372" s="14"/>
      <c r="E372" s="15"/>
    </row>
    <row r="373" spans="1:5" ht="14.25" customHeight="1" x14ac:dyDescent="0.3">
      <c r="A373" s="14"/>
      <c r="B373" s="14"/>
      <c r="C373" s="14"/>
      <c r="D373" s="14"/>
      <c r="E373" s="15"/>
    </row>
    <row r="374" spans="1:5" ht="14.25" customHeight="1" x14ac:dyDescent="0.3">
      <c r="A374" s="14"/>
      <c r="B374" s="14"/>
      <c r="C374" s="14"/>
      <c r="D374" s="14"/>
      <c r="E374" s="15"/>
    </row>
    <row r="375" spans="1:5" ht="14.25" customHeight="1" x14ac:dyDescent="0.3">
      <c r="A375" s="14"/>
      <c r="B375" s="14"/>
      <c r="C375" s="14"/>
      <c r="D375" s="14"/>
      <c r="E375" s="15"/>
    </row>
    <row r="376" spans="1:5" ht="14.25" customHeight="1" x14ac:dyDescent="0.3">
      <c r="A376" s="14"/>
      <c r="B376" s="14"/>
      <c r="C376" s="14"/>
      <c r="D376" s="14"/>
      <c r="E376" s="15"/>
    </row>
    <row r="377" spans="1:5" ht="14.25" customHeight="1" x14ac:dyDescent="0.3">
      <c r="A377" s="14"/>
      <c r="B377" s="14"/>
      <c r="C377" s="14"/>
      <c r="D377" s="14"/>
      <c r="E377" s="15"/>
    </row>
    <row r="378" spans="1:5" ht="14.25" customHeight="1" x14ac:dyDescent="0.3">
      <c r="A378" s="14"/>
      <c r="B378" s="14"/>
      <c r="C378" s="14"/>
      <c r="D378" s="14"/>
      <c r="E378" s="15"/>
    </row>
    <row r="379" spans="1:5" ht="14.25" customHeight="1" x14ac:dyDescent="0.3">
      <c r="A379" s="14"/>
      <c r="B379" s="14"/>
      <c r="C379" s="14"/>
      <c r="D379" s="14"/>
      <c r="E379" s="15"/>
    </row>
    <row r="380" spans="1:5" ht="14.25" customHeight="1" x14ac:dyDescent="0.3">
      <c r="A380" s="14"/>
      <c r="B380" s="14"/>
      <c r="C380" s="14"/>
      <c r="D380" s="14"/>
      <c r="E380" s="15"/>
    </row>
    <row r="381" spans="1:5" ht="14.25" customHeight="1" x14ac:dyDescent="0.3">
      <c r="A381" s="14"/>
      <c r="B381" s="14"/>
      <c r="C381" s="14"/>
      <c r="D381" s="14"/>
      <c r="E381" s="15"/>
    </row>
    <row r="382" spans="1:5" ht="14.25" customHeight="1" x14ac:dyDescent="0.3">
      <c r="A382" s="14"/>
      <c r="B382" s="14"/>
      <c r="C382" s="14"/>
      <c r="D382" s="14"/>
      <c r="E382" s="15"/>
    </row>
    <row r="383" spans="1:5" ht="14.25" customHeight="1" x14ac:dyDescent="0.3">
      <c r="A383" s="14"/>
      <c r="B383" s="14"/>
      <c r="C383" s="14"/>
      <c r="D383" s="14"/>
      <c r="E383" s="15"/>
    </row>
    <row r="384" spans="1:5" ht="14.25" customHeight="1" x14ac:dyDescent="0.3">
      <c r="A384" s="14"/>
      <c r="B384" s="14"/>
      <c r="C384" s="14"/>
      <c r="D384" s="14"/>
      <c r="E384" s="15"/>
    </row>
    <row r="385" spans="1:5" ht="14.25" customHeight="1" x14ac:dyDescent="0.3">
      <c r="A385" s="14"/>
      <c r="B385" s="14"/>
      <c r="C385" s="14"/>
      <c r="D385" s="14"/>
      <c r="E385" s="15"/>
    </row>
    <row r="386" spans="1:5" ht="14.25" customHeight="1" x14ac:dyDescent="0.3">
      <c r="A386" s="14"/>
      <c r="B386" s="14"/>
      <c r="C386" s="14"/>
      <c r="D386" s="14"/>
      <c r="E386" s="15"/>
    </row>
    <row r="387" spans="1:5" ht="14.25" customHeight="1" x14ac:dyDescent="0.3">
      <c r="A387" s="14"/>
      <c r="B387" s="14"/>
      <c r="C387" s="14"/>
      <c r="D387" s="14"/>
      <c r="E387" s="15"/>
    </row>
    <row r="388" spans="1:5" ht="14.25" customHeight="1" x14ac:dyDescent="0.3">
      <c r="A388" s="14"/>
      <c r="B388" s="14"/>
      <c r="C388" s="14"/>
      <c r="D388" s="14"/>
      <c r="E388" s="15"/>
    </row>
    <row r="389" spans="1:5" ht="14.25" customHeight="1" x14ac:dyDescent="0.3">
      <c r="A389" s="14"/>
      <c r="B389" s="14"/>
      <c r="C389" s="14"/>
      <c r="D389" s="14"/>
      <c r="E389" s="15"/>
    </row>
    <row r="390" spans="1:5" ht="14.25" customHeight="1" x14ac:dyDescent="0.3">
      <c r="A390" s="14"/>
      <c r="B390" s="14"/>
      <c r="C390" s="14"/>
      <c r="D390" s="14"/>
      <c r="E390" s="15"/>
    </row>
    <row r="391" spans="1:5" ht="14.25" customHeight="1" x14ac:dyDescent="0.3">
      <c r="A391" s="14"/>
      <c r="B391" s="14"/>
      <c r="C391" s="14"/>
      <c r="D391" s="14"/>
      <c r="E391" s="15"/>
    </row>
    <row r="392" spans="1:5" ht="14.25" customHeight="1" x14ac:dyDescent="0.3">
      <c r="A392" s="14"/>
      <c r="B392" s="14"/>
      <c r="C392" s="14"/>
      <c r="D392" s="14"/>
      <c r="E392" s="15"/>
    </row>
    <row r="393" spans="1:5" ht="14.25" customHeight="1" x14ac:dyDescent="0.3">
      <c r="A393" s="14"/>
      <c r="B393" s="14"/>
      <c r="C393" s="14"/>
      <c r="D393" s="14"/>
      <c r="E393" s="15"/>
    </row>
    <row r="394" spans="1:5" ht="14.25" customHeight="1" x14ac:dyDescent="0.3">
      <c r="A394" s="14"/>
      <c r="B394" s="14"/>
      <c r="C394" s="14"/>
      <c r="D394" s="14"/>
      <c r="E394" s="15"/>
    </row>
    <row r="395" spans="1:5" ht="14.25" customHeight="1" x14ac:dyDescent="0.3">
      <c r="A395" s="14"/>
      <c r="B395" s="14"/>
      <c r="C395" s="14"/>
      <c r="D395" s="14"/>
      <c r="E395" s="15"/>
    </row>
    <row r="396" spans="1:5" ht="14.25" customHeight="1" x14ac:dyDescent="0.3">
      <c r="A396" s="14"/>
      <c r="B396" s="14"/>
      <c r="C396" s="14"/>
      <c r="D396" s="14"/>
      <c r="E396" s="15"/>
    </row>
    <row r="397" spans="1:5" ht="14.25" customHeight="1" x14ac:dyDescent="0.3">
      <c r="A397" s="14"/>
      <c r="B397" s="14"/>
      <c r="C397" s="14"/>
      <c r="D397" s="14"/>
      <c r="E397" s="15"/>
    </row>
    <row r="398" spans="1:5" ht="14.25" customHeight="1" x14ac:dyDescent="0.3">
      <c r="A398" s="14"/>
      <c r="B398" s="14"/>
      <c r="C398" s="14"/>
      <c r="D398" s="14"/>
      <c r="E398" s="15"/>
    </row>
    <row r="399" spans="1:5" ht="14.25" customHeight="1" x14ac:dyDescent="0.3">
      <c r="A399" s="14"/>
      <c r="B399" s="14"/>
      <c r="C399" s="14"/>
      <c r="D399" s="14"/>
      <c r="E399" s="15"/>
    </row>
    <row r="400" spans="1:5" ht="14.25" customHeight="1" x14ac:dyDescent="0.3">
      <c r="A400" s="14"/>
      <c r="B400" s="14"/>
      <c r="C400" s="14"/>
      <c r="D400" s="14"/>
      <c r="E400" s="15"/>
    </row>
    <row r="401" spans="1:5" ht="14.25" customHeight="1" x14ac:dyDescent="0.3">
      <c r="A401" s="14"/>
      <c r="B401" s="14"/>
      <c r="C401" s="14"/>
      <c r="D401" s="14"/>
      <c r="E401" s="15"/>
    </row>
    <row r="402" spans="1:5" ht="14.25" customHeight="1" x14ac:dyDescent="0.3">
      <c r="A402" s="14"/>
      <c r="B402" s="14"/>
      <c r="C402" s="14"/>
      <c r="D402" s="14"/>
      <c r="E402" s="15"/>
    </row>
    <row r="403" spans="1:5" ht="14.25" customHeight="1" x14ac:dyDescent="0.3">
      <c r="A403" s="14"/>
      <c r="B403" s="14"/>
      <c r="C403" s="14"/>
      <c r="D403" s="14"/>
      <c r="E403" s="15"/>
    </row>
    <row r="404" spans="1:5" ht="14.25" customHeight="1" x14ac:dyDescent="0.3">
      <c r="A404" s="14"/>
      <c r="B404" s="14"/>
      <c r="C404" s="14"/>
      <c r="D404" s="14"/>
      <c r="E404" s="15"/>
    </row>
    <row r="405" spans="1:5" ht="14.25" customHeight="1" x14ac:dyDescent="0.3">
      <c r="A405" s="14"/>
      <c r="B405" s="14"/>
      <c r="C405" s="14"/>
      <c r="D405" s="14"/>
      <c r="E405" s="15"/>
    </row>
    <row r="406" spans="1:5" ht="14.25" customHeight="1" x14ac:dyDescent="0.3">
      <c r="A406" s="14"/>
      <c r="B406" s="14"/>
      <c r="C406" s="14"/>
      <c r="D406" s="14"/>
      <c r="E406" s="15"/>
    </row>
    <row r="407" spans="1:5" ht="14.25" customHeight="1" x14ac:dyDescent="0.3">
      <c r="A407" s="14"/>
      <c r="B407" s="14"/>
      <c r="C407" s="14"/>
      <c r="D407" s="14"/>
      <c r="E407" s="15"/>
    </row>
    <row r="408" spans="1:5" ht="14.25" customHeight="1" x14ac:dyDescent="0.3">
      <c r="A408" s="14"/>
      <c r="B408" s="14"/>
      <c r="C408" s="14"/>
      <c r="D408" s="14"/>
      <c r="E408" s="15"/>
    </row>
    <row r="409" spans="1:5" ht="14.25" customHeight="1" x14ac:dyDescent="0.3">
      <c r="A409" s="14"/>
      <c r="B409" s="14"/>
      <c r="C409" s="14"/>
      <c r="D409" s="14"/>
      <c r="E409" s="15"/>
    </row>
    <row r="410" spans="1:5" ht="14.25" customHeight="1" x14ac:dyDescent="0.3">
      <c r="A410" s="14"/>
      <c r="B410" s="14"/>
      <c r="C410" s="14"/>
      <c r="D410" s="14"/>
      <c r="E410" s="15"/>
    </row>
    <row r="411" spans="1:5" ht="14.25" customHeight="1" x14ac:dyDescent="0.3">
      <c r="A411" s="14"/>
      <c r="B411" s="14"/>
      <c r="C411" s="14"/>
      <c r="D411" s="14"/>
      <c r="E411" s="15"/>
    </row>
    <row r="412" spans="1:5" ht="14.25" customHeight="1" x14ac:dyDescent="0.3">
      <c r="A412" s="14"/>
      <c r="B412" s="14"/>
      <c r="C412" s="14"/>
      <c r="D412" s="14"/>
      <c r="E412" s="15"/>
    </row>
    <row r="413" spans="1:5" ht="14.25" customHeight="1" x14ac:dyDescent="0.3">
      <c r="A413" s="14"/>
      <c r="B413" s="14"/>
      <c r="C413" s="14"/>
      <c r="D413" s="14"/>
      <c r="E413" s="15"/>
    </row>
    <row r="414" spans="1:5" ht="14.25" customHeight="1" x14ac:dyDescent="0.3">
      <c r="A414" s="14"/>
      <c r="B414" s="14"/>
      <c r="C414" s="14"/>
      <c r="D414" s="14"/>
      <c r="E414" s="15"/>
    </row>
    <row r="415" spans="1:5" ht="14.25" customHeight="1" x14ac:dyDescent="0.3">
      <c r="A415" s="14"/>
      <c r="B415" s="14"/>
      <c r="C415" s="14"/>
      <c r="D415" s="14"/>
      <c r="E415" s="15"/>
    </row>
    <row r="416" spans="1:5" ht="14.25" customHeight="1" x14ac:dyDescent="0.3">
      <c r="A416" s="14"/>
      <c r="B416" s="14"/>
      <c r="C416" s="14"/>
      <c r="D416" s="14"/>
      <c r="E416" s="15"/>
    </row>
    <row r="417" spans="1:5" ht="14.25" customHeight="1" x14ac:dyDescent="0.3">
      <c r="A417" s="14"/>
      <c r="B417" s="14"/>
      <c r="C417" s="14"/>
      <c r="D417" s="14"/>
      <c r="E417" s="15"/>
    </row>
    <row r="418" spans="1:5" ht="14.25" customHeight="1" x14ac:dyDescent="0.3">
      <c r="A418" s="14"/>
      <c r="B418" s="14"/>
      <c r="C418" s="14"/>
      <c r="D418" s="14"/>
      <c r="E418" s="15"/>
    </row>
    <row r="419" spans="1:5" ht="14.25" customHeight="1" x14ac:dyDescent="0.3">
      <c r="A419" s="14"/>
      <c r="B419" s="14"/>
      <c r="C419" s="14"/>
      <c r="D419" s="14"/>
      <c r="E419" s="15"/>
    </row>
    <row r="420" spans="1:5" ht="14.25" customHeight="1" x14ac:dyDescent="0.3">
      <c r="A420" s="14"/>
      <c r="B420" s="14"/>
      <c r="C420" s="14"/>
      <c r="D420" s="14"/>
      <c r="E420" s="15"/>
    </row>
    <row r="421" spans="1:5" ht="14.25" customHeight="1" x14ac:dyDescent="0.3">
      <c r="A421" s="14"/>
      <c r="B421" s="14"/>
      <c r="C421" s="14"/>
      <c r="D421" s="14"/>
      <c r="E421" s="15"/>
    </row>
    <row r="422" spans="1:5" ht="14.25" customHeight="1" x14ac:dyDescent="0.3">
      <c r="A422" s="14"/>
      <c r="B422" s="14"/>
      <c r="C422" s="14"/>
      <c r="D422" s="14"/>
      <c r="E422" s="15"/>
    </row>
    <row r="423" spans="1:5" ht="14.25" customHeight="1" x14ac:dyDescent="0.3">
      <c r="A423" s="14"/>
      <c r="B423" s="14"/>
      <c r="C423" s="14"/>
      <c r="D423" s="14"/>
      <c r="E423" s="15"/>
    </row>
    <row r="424" spans="1:5" ht="14.25" customHeight="1" x14ac:dyDescent="0.3">
      <c r="A424" s="14"/>
      <c r="B424" s="14"/>
      <c r="C424" s="14"/>
      <c r="D424" s="14"/>
      <c r="E424" s="15"/>
    </row>
    <row r="425" spans="1:5" ht="14.25" customHeight="1" x14ac:dyDescent="0.3">
      <c r="A425" s="14"/>
      <c r="B425" s="14"/>
      <c r="C425" s="14"/>
      <c r="D425" s="14"/>
      <c r="E425" s="15"/>
    </row>
    <row r="426" spans="1:5" ht="14.25" customHeight="1" x14ac:dyDescent="0.3">
      <c r="A426" s="14"/>
      <c r="B426" s="14"/>
      <c r="C426" s="14"/>
      <c r="D426" s="14"/>
      <c r="E426" s="15"/>
    </row>
    <row r="427" spans="1:5" ht="14.25" customHeight="1" x14ac:dyDescent="0.3">
      <c r="A427" s="14"/>
      <c r="B427" s="14"/>
      <c r="C427" s="14"/>
      <c r="D427" s="14"/>
      <c r="E427" s="15"/>
    </row>
    <row r="428" spans="1:5" ht="14.25" customHeight="1" x14ac:dyDescent="0.3">
      <c r="A428" s="14"/>
      <c r="B428" s="14"/>
      <c r="C428" s="14"/>
      <c r="D428" s="14"/>
      <c r="E428" s="15"/>
    </row>
    <row r="429" spans="1:5" ht="14.25" customHeight="1" x14ac:dyDescent="0.3">
      <c r="A429" s="14"/>
      <c r="B429" s="14"/>
      <c r="C429" s="14"/>
      <c r="D429" s="14"/>
      <c r="E429" s="15"/>
    </row>
    <row r="430" spans="1:5" ht="14.25" customHeight="1" x14ac:dyDescent="0.3">
      <c r="A430" s="14"/>
      <c r="B430" s="14"/>
      <c r="C430" s="14"/>
      <c r="D430" s="14"/>
      <c r="E430" s="15"/>
    </row>
    <row r="431" spans="1:5" ht="14.25" customHeight="1" x14ac:dyDescent="0.3">
      <c r="A431" s="14"/>
      <c r="B431" s="14"/>
      <c r="C431" s="14"/>
      <c r="D431" s="14"/>
      <c r="E431" s="15"/>
    </row>
    <row r="432" spans="1:5" ht="14.25" customHeight="1" x14ac:dyDescent="0.3">
      <c r="A432" s="14"/>
      <c r="B432" s="14"/>
      <c r="C432" s="14"/>
      <c r="D432" s="14"/>
      <c r="E432" s="15"/>
    </row>
    <row r="433" spans="1:5" ht="14.25" customHeight="1" x14ac:dyDescent="0.3">
      <c r="A433" s="14"/>
      <c r="B433" s="14"/>
      <c r="C433" s="14"/>
      <c r="D433" s="14"/>
      <c r="E433" s="15"/>
    </row>
    <row r="434" spans="1:5" ht="14.25" customHeight="1" x14ac:dyDescent="0.3">
      <c r="A434" s="14"/>
      <c r="B434" s="14"/>
      <c r="C434" s="14"/>
      <c r="D434" s="14"/>
      <c r="E434" s="15"/>
    </row>
    <row r="435" spans="1:5" ht="14.25" customHeight="1" x14ac:dyDescent="0.3">
      <c r="A435" s="14"/>
      <c r="B435" s="14"/>
      <c r="C435" s="14"/>
      <c r="D435" s="14"/>
      <c r="E435" s="15"/>
    </row>
    <row r="436" spans="1:5" ht="14.25" customHeight="1" x14ac:dyDescent="0.3">
      <c r="A436" s="14"/>
      <c r="B436" s="14"/>
      <c r="C436" s="14"/>
      <c r="D436" s="14"/>
      <c r="E436" s="15"/>
    </row>
    <row r="437" spans="1:5" ht="14.25" customHeight="1" x14ac:dyDescent="0.3">
      <c r="A437" s="14"/>
      <c r="B437" s="14"/>
      <c r="C437" s="14"/>
      <c r="D437" s="14"/>
      <c r="E437" s="15"/>
    </row>
    <row r="438" spans="1:5" ht="14.25" customHeight="1" x14ac:dyDescent="0.3">
      <c r="A438" s="14"/>
      <c r="B438" s="14"/>
      <c r="C438" s="14"/>
      <c r="D438" s="14"/>
      <c r="E438" s="15"/>
    </row>
    <row r="439" spans="1:5" ht="14.25" customHeight="1" x14ac:dyDescent="0.3">
      <c r="A439" s="14"/>
      <c r="B439" s="14"/>
      <c r="C439" s="14"/>
      <c r="D439" s="14"/>
      <c r="E439" s="15"/>
    </row>
    <row r="440" spans="1:5" ht="14.25" customHeight="1" x14ac:dyDescent="0.3">
      <c r="A440" s="14"/>
      <c r="B440" s="14"/>
      <c r="C440" s="14"/>
      <c r="D440" s="14"/>
      <c r="E440" s="15"/>
    </row>
    <row r="441" spans="1:5" ht="14.25" customHeight="1" x14ac:dyDescent="0.3">
      <c r="A441" s="14"/>
      <c r="B441" s="14"/>
      <c r="C441" s="14"/>
      <c r="D441" s="14"/>
      <c r="E441" s="15"/>
    </row>
    <row r="442" spans="1:5" ht="14.25" customHeight="1" x14ac:dyDescent="0.3">
      <c r="A442" s="14"/>
      <c r="B442" s="14"/>
      <c r="C442" s="14"/>
      <c r="D442" s="14"/>
      <c r="E442" s="15"/>
    </row>
    <row r="443" spans="1:5" ht="14.25" customHeight="1" x14ac:dyDescent="0.3">
      <c r="A443" s="14"/>
      <c r="B443" s="14"/>
      <c r="C443" s="14"/>
      <c r="D443" s="14"/>
      <c r="E443" s="15"/>
    </row>
    <row r="444" spans="1:5" ht="14.25" customHeight="1" x14ac:dyDescent="0.3">
      <c r="A444" s="14"/>
      <c r="B444" s="14"/>
      <c r="C444" s="14"/>
      <c r="D444" s="14"/>
      <c r="E444" s="15"/>
    </row>
    <row r="445" spans="1:5" ht="14.25" customHeight="1" x14ac:dyDescent="0.3">
      <c r="A445" s="14"/>
      <c r="B445" s="14"/>
      <c r="C445" s="14"/>
      <c r="D445" s="14"/>
      <c r="E445" s="15"/>
    </row>
    <row r="446" spans="1:5" ht="14.25" customHeight="1" x14ac:dyDescent="0.3">
      <c r="A446" s="14"/>
      <c r="B446" s="14"/>
      <c r="C446" s="14"/>
      <c r="D446" s="14"/>
      <c r="E446" s="15"/>
    </row>
    <row r="447" spans="1:5" ht="14.25" customHeight="1" x14ac:dyDescent="0.3">
      <c r="A447" s="14"/>
      <c r="B447" s="14"/>
      <c r="C447" s="14"/>
      <c r="D447" s="14"/>
      <c r="E447" s="15"/>
    </row>
    <row r="448" spans="1:5" ht="14.25" customHeight="1" x14ac:dyDescent="0.3">
      <c r="A448" s="14"/>
      <c r="B448" s="14"/>
      <c r="C448" s="14"/>
      <c r="D448" s="14"/>
      <c r="E448" s="15"/>
    </row>
    <row r="449" spans="1:5" ht="14.25" customHeight="1" x14ac:dyDescent="0.3">
      <c r="A449" s="14"/>
      <c r="B449" s="14"/>
      <c r="C449" s="14"/>
      <c r="D449" s="14"/>
      <c r="E449" s="15"/>
    </row>
    <row r="450" spans="1:5" ht="14.25" customHeight="1" x14ac:dyDescent="0.3">
      <c r="A450" s="14"/>
      <c r="B450" s="14"/>
      <c r="C450" s="14"/>
      <c r="D450" s="14"/>
      <c r="E450" s="15"/>
    </row>
    <row r="451" spans="1:5" ht="14.25" customHeight="1" x14ac:dyDescent="0.3">
      <c r="A451" s="14"/>
      <c r="B451" s="14"/>
      <c r="C451" s="14"/>
      <c r="D451" s="14"/>
      <c r="E451" s="15"/>
    </row>
    <row r="452" spans="1:5" ht="14.25" customHeight="1" x14ac:dyDescent="0.3">
      <c r="A452" s="14"/>
      <c r="B452" s="14"/>
      <c r="C452" s="14"/>
      <c r="D452" s="14"/>
      <c r="E452" s="15"/>
    </row>
    <row r="453" spans="1:5" ht="14.25" customHeight="1" x14ac:dyDescent="0.3">
      <c r="A453" s="14"/>
      <c r="B453" s="14"/>
      <c r="C453" s="14"/>
      <c r="D453" s="14"/>
      <c r="E453" s="15"/>
    </row>
    <row r="454" spans="1:5" ht="14.25" customHeight="1" x14ac:dyDescent="0.3">
      <c r="A454" s="14"/>
      <c r="B454" s="14"/>
      <c r="C454" s="14"/>
      <c r="D454" s="14"/>
      <c r="E454" s="15"/>
    </row>
    <row r="455" spans="1:5" ht="14.25" customHeight="1" x14ac:dyDescent="0.3">
      <c r="A455" s="14"/>
      <c r="B455" s="14"/>
      <c r="C455" s="14"/>
      <c r="D455" s="14"/>
      <c r="E455" s="15"/>
    </row>
    <row r="456" spans="1:5" ht="14.25" customHeight="1" x14ac:dyDescent="0.3">
      <c r="A456" s="14"/>
      <c r="B456" s="14"/>
      <c r="C456" s="14"/>
      <c r="D456" s="14"/>
      <c r="E456" s="15"/>
    </row>
    <row r="457" spans="1:5" ht="14.25" customHeight="1" x14ac:dyDescent="0.3">
      <c r="A457" s="14"/>
      <c r="B457" s="14"/>
      <c r="C457" s="14"/>
      <c r="D457" s="14"/>
      <c r="E457" s="15"/>
    </row>
    <row r="458" spans="1:5" ht="14.25" customHeight="1" x14ac:dyDescent="0.3">
      <c r="A458" s="14"/>
      <c r="B458" s="14"/>
      <c r="C458" s="14"/>
      <c r="D458" s="14"/>
      <c r="E458" s="15"/>
    </row>
    <row r="459" spans="1:5" ht="14.25" customHeight="1" x14ac:dyDescent="0.3">
      <c r="A459" s="14"/>
      <c r="B459" s="14"/>
      <c r="C459" s="14"/>
      <c r="D459" s="14"/>
      <c r="E459" s="15"/>
    </row>
    <row r="460" spans="1:5" ht="14.25" customHeight="1" x14ac:dyDescent="0.3">
      <c r="A460" s="14"/>
      <c r="B460" s="14"/>
      <c r="C460" s="14"/>
      <c r="D460" s="14"/>
      <c r="E460" s="15"/>
    </row>
    <row r="461" spans="1:5" ht="14.25" customHeight="1" x14ac:dyDescent="0.3">
      <c r="A461" s="14"/>
      <c r="B461" s="14"/>
      <c r="C461" s="14"/>
      <c r="D461" s="14"/>
      <c r="E461" s="15"/>
    </row>
    <row r="462" spans="1:5" ht="14.25" customHeight="1" x14ac:dyDescent="0.3">
      <c r="A462" s="14"/>
      <c r="B462" s="14"/>
      <c r="C462" s="14"/>
      <c r="D462" s="14"/>
      <c r="E462" s="15"/>
    </row>
    <row r="463" spans="1:5" ht="14.25" customHeight="1" x14ac:dyDescent="0.3">
      <c r="A463" s="14"/>
      <c r="B463" s="14"/>
      <c r="C463" s="14"/>
      <c r="D463" s="14"/>
      <c r="E463" s="15"/>
    </row>
    <row r="464" spans="1:5" ht="14.25" customHeight="1" x14ac:dyDescent="0.3">
      <c r="A464" s="14"/>
      <c r="B464" s="14"/>
      <c r="C464" s="14"/>
      <c r="D464" s="14"/>
      <c r="E464" s="15"/>
    </row>
    <row r="465" spans="1:5" ht="14.25" customHeight="1" x14ac:dyDescent="0.3">
      <c r="A465" s="14"/>
      <c r="B465" s="14"/>
      <c r="C465" s="14"/>
      <c r="D465" s="14"/>
      <c r="E465" s="15"/>
    </row>
    <row r="466" spans="1:5" ht="14.25" customHeight="1" x14ac:dyDescent="0.3">
      <c r="A466" s="14"/>
      <c r="B466" s="14"/>
      <c r="C466" s="14"/>
      <c r="D466" s="14"/>
      <c r="E466" s="15"/>
    </row>
    <row r="467" spans="1:5" ht="14.25" customHeight="1" x14ac:dyDescent="0.3">
      <c r="A467" s="14"/>
      <c r="B467" s="14"/>
      <c r="C467" s="14"/>
      <c r="D467" s="14"/>
      <c r="E467" s="15"/>
    </row>
    <row r="468" spans="1:5" ht="14.25" customHeight="1" x14ac:dyDescent="0.3">
      <c r="A468" s="14"/>
      <c r="B468" s="14"/>
      <c r="C468" s="14"/>
      <c r="D468" s="14"/>
      <c r="E468" s="15"/>
    </row>
    <row r="469" spans="1:5" ht="14.25" customHeight="1" x14ac:dyDescent="0.3">
      <c r="A469" s="14"/>
      <c r="B469" s="14"/>
      <c r="C469" s="14"/>
      <c r="D469" s="14"/>
      <c r="E469" s="15"/>
    </row>
    <row r="470" spans="1:5" ht="14.25" customHeight="1" x14ac:dyDescent="0.3">
      <c r="A470" s="14"/>
      <c r="B470" s="14"/>
      <c r="C470" s="14"/>
      <c r="D470" s="14"/>
      <c r="E470" s="15"/>
    </row>
    <row r="471" spans="1:5" ht="14.25" customHeight="1" x14ac:dyDescent="0.3">
      <c r="A471" s="14"/>
      <c r="B471" s="14"/>
      <c r="C471" s="14"/>
      <c r="D471" s="14"/>
      <c r="E471" s="15"/>
    </row>
    <row r="472" spans="1:5" ht="14.25" customHeight="1" x14ac:dyDescent="0.3">
      <c r="A472" s="14"/>
      <c r="B472" s="14"/>
      <c r="C472" s="14"/>
      <c r="D472" s="14"/>
      <c r="E472" s="15"/>
    </row>
    <row r="473" spans="1:5" ht="14.25" customHeight="1" x14ac:dyDescent="0.3">
      <c r="A473" s="14"/>
      <c r="B473" s="14"/>
      <c r="C473" s="14"/>
      <c r="D473" s="14"/>
      <c r="E473" s="15"/>
    </row>
    <row r="474" spans="1:5" ht="14.25" customHeight="1" x14ac:dyDescent="0.3">
      <c r="A474" s="14"/>
      <c r="B474" s="14"/>
      <c r="C474" s="14"/>
      <c r="D474" s="14"/>
      <c r="E474" s="15"/>
    </row>
    <row r="475" spans="1:5" ht="14.25" customHeight="1" x14ac:dyDescent="0.3">
      <c r="A475" s="14"/>
      <c r="B475" s="14"/>
      <c r="C475" s="14"/>
      <c r="D475" s="14"/>
      <c r="E475" s="15"/>
    </row>
    <row r="476" spans="1:5" ht="14.25" customHeight="1" x14ac:dyDescent="0.3">
      <c r="A476" s="14"/>
      <c r="B476" s="14"/>
      <c r="C476" s="14"/>
      <c r="D476" s="14"/>
      <c r="E476" s="15"/>
    </row>
    <row r="477" spans="1:5" ht="14.25" customHeight="1" x14ac:dyDescent="0.3">
      <c r="A477" s="14"/>
      <c r="B477" s="14"/>
      <c r="C477" s="14"/>
      <c r="D477" s="14"/>
      <c r="E477" s="15"/>
    </row>
    <row r="478" spans="1:5" ht="14.25" customHeight="1" x14ac:dyDescent="0.3">
      <c r="A478" s="14"/>
      <c r="B478" s="14"/>
      <c r="C478" s="14"/>
      <c r="D478" s="14"/>
      <c r="E478" s="15"/>
    </row>
    <row r="479" spans="1:5" ht="14.25" customHeight="1" x14ac:dyDescent="0.3">
      <c r="A479" s="14"/>
      <c r="B479" s="14"/>
      <c r="C479" s="14"/>
      <c r="D479" s="14"/>
      <c r="E479" s="15"/>
    </row>
    <row r="480" spans="1:5" ht="14.25" customHeight="1" x14ac:dyDescent="0.3">
      <c r="A480" s="14"/>
      <c r="B480" s="14"/>
      <c r="C480" s="14"/>
      <c r="D480" s="14"/>
      <c r="E480" s="15"/>
    </row>
    <row r="481" spans="1:5" ht="14.25" customHeight="1" x14ac:dyDescent="0.3">
      <c r="A481" s="14"/>
      <c r="B481" s="14"/>
      <c r="C481" s="14"/>
      <c r="D481" s="14"/>
      <c r="E481" s="15"/>
    </row>
    <row r="482" spans="1:5" ht="14.25" customHeight="1" x14ac:dyDescent="0.3">
      <c r="A482" s="14"/>
      <c r="B482" s="14"/>
      <c r="C482" s="14"/>
      <c r="D482" s="14"/>
      <c r="E482" s="15"/>
    </row>
    <row r="483" spans="1:5" ht="14.25" customHeight="1" x14ac:dyDescent="0.3">
      <c r="A483" s="14"/>
      <c r="B483" s="14"/>
      <c r="C483" s="14"/>
      <c r="D483" s="14"/>
      <c r="E483" s="15"/>
    </row>
    <row r="484" spans="1:5" ht="14.25" customHeight="1" x14ac:dyDescent="0.3">
      <c r="A484" s="14"/>
      <c r="B484" s="14"/>
      <c r="C484" s="14"/>
      <c r="D484" s="14"/>
      <c r="E484" s="15"/>
    </row>
    <row r="485" spans="1:5" ht="14.25" customHeight="1" x14ac:dyDescent="0.3">
      <c r="A485" s="14"/>
      <c r="B485" s="14"/>
      <c r="C485" s="14"/>
      <c r="D485" s="14"/>
      <c r="E485" s="15"/>
    </row>
    <row r="486" spans="1:5" ht="14.25" customHeight="1" x14ac:dyDescent="0.3">
      <c r="A486" s="14"/>
      <c r="B486" s="14"/>
      <c r="C486" s="14"/>
      <c r="D486" s="14"/>
      <c r="E486" s="15"/>
    </row>
    <row r="487" spans="1:5" ht="14.25" customHeight="1" x14ac:dyDescent="0.3">
      <c r="A487" s="14"/>
      <c r="B487" s="14"/>
      <c r="C487" s="14"/>
      <c r="D487" s="14"/>
      <c r="E487" s="15"/>
    </row>
    <row r="488" spans="1:5" ht="14.25" customHeight="1" x14ac:dyDescent="0.3">
      <c r="A488" s="14"/>
      <c r="B488" s="14"/>
      <c r="C488" s="14"/>
      <c r="D488" s="14"/>
      <c r="E488" s="15"/>
    </row>
    <row r="489" spans="1:5" ht="14.25" customHeight="1" x14ac:dyDescent="0.3">
      <c r="A489" s="14"/>
      <c r="B489" s="14"/>
      <c r="C489" s="14"/>
      <c r="D489" s="14"/>
      <c r="E489" s="15"/>
    </row>
    <row r="490" spans="1:5" ht="14.25" customHeight="1" x14ac:dyDescent="0.3">
      <c r="A490" s="14"/>
      <c r="B490" s="14"/>
      <c r="C490" s="14"/>
      <c r="D490" s="14"/>
      <c r="E490" s="15"/>
    </row>
    <row r="491" spans="1:5" ht="14.25" customHeight="1" x14ac:dyDescent="0.3">
      <c r="A491" s="14"/>
      <c r="B491" s="14"/>
      <c r="C491" s="14"/>
      <c r="D491" s="14"/>
      <c r="E491" s="15"/>
    </row>
    <row r="492" spans="1:5" ht="14.25" customHeight="1" x14ac:dyDescent="0.3">
      <c r="A492" s="14"/>
      <c r="B492" s="14"/>
      <c r="C492" s="14"/>
      <c r="D492" s="14"/>
      <c r="E492" s="15"/>
    </row>
    <row r="493" spans="1:5" ht="14.25" customHeight="1" x14ac:dyDescent="0.3">
      <c r="A493" s="14"/>
      <c r="B493" s="14"/>
      <c r="C493" s="14"/>
      <c r="D493" s="14"/>
      <c r="E493" s="15"/>
    </row>
    <row r="494" spans="1:5" ht="14.25" customHeight="1" x14ac:dyDescent="0.3">
      <c r="A494" s="14"/>
      <c r="B494" s="14"/>
      <c r="C494" s="14"/>
      <c r="D494" s="14"/>
      <c r="E494" s="15"/>
    </row>
    <row r="495" spans="1:5" ht="14.25" customHeight="1" x14ac:dyDescent="0.3">
      <c r="A495" s="14"/>
      <c r="B495" s="14"/>
      <c r="C495" s="14"/>
      <c r="D495" s="14"/>
      <c r="E495" s="15"/>
    </row>
    <row r="496" spans="1:5" ht="14.25" customHeight="1" x14ac:dyDescent="0.3">
      <c r="A496" s="14"/>
      <c r="B496" s="14"/>
      <c r="C496" s="14"/>
      <c r="D496" s="14"/>
      <c r="E496" s="15"/>
    </row>
    <row r="497" spans="1:5" ht="14.25" customHeight="1" x14ac:dyDescent="0.3">
      <c r="A497" s="14"/>
      <c r="B497" s="14"/>
      <c r="C497" s="14"/>
      <c r="D497" s="14"/>
      <c r="E497" s="15"/>
    </row>
    <row r="498" spans="1:5" ht="14.25" customHeight="1" x14ac:dyDescent="0.3">
      <c r="A498" s="14"/>
      <c r="B498" s="14"/>
      <c r="C498" s="14"/>
      <c r="D498" s="14"/>
      <c r="E498" s="15"/>
    </row>
    <row r="499" spans="1:5" ht="14.25" customHeight="1" x14ac:dyDescent="0.3">
      <c r="A499" s="14"/>
      <c r="B499" s="14"/>
      <c r="C499" s="14"/>
      <c r="D499" s="14"/>
      <c r="E499" s="15"/>
    </row>
    <row r="500" spans="1:5" ht="14.25" customHeight="1" x14ac:dyDescent="0.3">
      <c r="A500" s="14"/>
      <c r="B500" s="14"/>
      <c r="C500" s="14"/>
      <c r="D500" s="14"/>
      <c r="E500" s="15"/>
    </row>
    <row r="501" spans="1:5" ht="14.25" customHeight="1" x14ac:dyDescent="0.3">
      <c r="A501" s="14"/>
      <c r="B501" s="14"/>
      <c r="C501" s="14"/>
      <c r="D501" s="14"/>
      <c r="E501" s="15"/>
    </row>
    <row r="502" spans="1:5" ht="14.25" customHeight="1" x14ac:dyDescent="0.3">
      <c r="A502" s="14"/>
      <c r="B502" s="14"/>
      <c r="C502" s="14"/>
      <c r="D502" s="14"/>
      <c r="E502" s="15"/>
    </row>
    <row r="503" spans="1:5" ht="14.25" customHeight="1" x14ac:dyDescent="0.3">
      <c r="A503" s="14"/>
      <c r="B503" s="14"/>
      <c r="C503" s="14"/>
      <c r="D503" s="14"/>
      <c r="E503" s="15"/>
    </row>
    <row r="504" spans="1:5" ht="14.25" customHeight="1" x14ac:dyDescent="0.3">
      <c r="A504" s="14"/>
      <c r="B504" s="14"/>
      <c r="C504" s="14"/>
      <c r="D504" s="14"/>
      <c r="E504" s="15"/>
    </row>
    <row r="505" spans="1:5" ht="14.25" customHeight="1" x14ac:dyDescent="0.3">
      <c r="A505" s="14"/>
      <c r="B505" s="14"/>
      <c r="C505" s="14"/>
      <c r="D505" s="14"/>
      <c r="E505" s="15"/>
    </row>
    <row r="506" spans="1:5" ht="14.25" customHeight="1" x14ac:dyDescent="0.3">
      <c r="A506" s="14"/>
      <c r="B506" s="14"/>
      <c r="C506" s="14"/>
      <c r="D506" s="14"/>
      <c r="E506" s="15"/>
    </row>
    <row r="507" spans="1:5" ht="14.25" customHeight="1" x14ac:dyDescent="0.3">
      <c r="A507" s="14"/>
      <c r="B507" s="14"/>
      <c r="C507" s="14"/>
      <c r="D507" s="14"/>
      <c r="E507" s="15"/>
    </row>
    <row r="508" spans="1:5" ht="14.25" customHeight="1" x14ac:dyDescent="0.3">
      <c r="A508" s="14"/>
      <c r="B508" s="14"/>
      <c r="C508" s="14"/>
      <c r="D508" s="14"/>
      <c r="E508" s="15"/>
    </row>
    <row r="509" spans="1:5" ht="14.25" customHeight="1" x14ac:dyDescent="0.3">
      <c r="A509" s="14"/>
      <c r="B509" s="14"/>
      <c r="C509" s="14"/>
      <c r="D509" s="14"/>
      <c r="E509" s="15"/>
    </row>
    <row r="510" spans="1:5" ht="14.25" customHeight="1" x14ac:dyDescent="0.3">
      <c r="A510" s="14"/>
      <c r="B510" s="14"/>
      <c r="C510" s="14"/>
      <c r="D510" s="14"/>
      <c r="E510" s="15"/>
    </row>
    <row r="511" spans="1:5" ht="14.25" customHeight="1" x14ac:dyDescent="0.3">
      <c r="A511" s="14"/>
      <c r="B511" s="14"/>
      <c r="C511" s="14"/>
      <c r="D511" s="14"/>
      <c r="E511" s="15"/>
    </row>
    <row r="512" spans="1:5" ht="14.25" customHeight="1" x14ac:dyDescent="0.3">
      <c r="A512" s="14"/>
      <c r="B512" s="14"/>
      <c r="C512" s="14"/>
      <c r="D512" s="14"/>
      <c r="E512" s="15"/>
    </row>
    <row r="513" spans="1:5" ht="14.25" customHeight="1" x14ac:dyDescent="0.3">
      <c r="A513" s="14"/>
      <c r="B513" s="14"/>
      <c r="C513" s="14"/>
      <c r="D513" s="14"/>
      <c r="E513" s="15"/>
    </row>
    <row r="514" spans="1:5" ht="14.25" customHeight="1" x14ac:dyDescent="0.3">
      <c r="A514" s="14"/>
      <c r="B514" s="14"/>
      <c r="C514" s="14"/>
      <c r="D514" s="14"/>
      <c r="E514" s="15"/>
    </row>
    <row r="515" spans="1:5" ht="14.25" customHeight="1" x14ac:dyDescent="0.3">
      <c r="A515" s="14"/>
      <c r="B515" s="14"/>
      <c r="C515" s="14"/>
      <c r="D515" s="14"/>
      <c r="E515" s="15"/>
    </row>
    <row r="516" spans="1:5" ht="14.25" customHeight="1" x14ac:dyDescent="0.3">
      <c r="A516" s="14"/>
      <c r="B516" s="14"/>
      <c r="C516" s="14"/>
      <c r="D516" s="14"/>
      <c r="E516" s="15"/>
    </row>
    <row r="517" spans="1:5" ht="14.25" customHeight="1" x14ac:dyDescent="0.3">
      <c r="A517" s="14"/>
      <c r="B517" s="14"/>
      <c r="C517" s="14"/>
      <c r="D517" s="14"/>
      <c r="E517" s="15"/>
    </row>
    <row r="518" spans="1:5" ht="14.25" customHeight="1" x14ac:dyDescent="0.3">
      <c r="A518" s="14"/>
      <c r="B518" s="14"/>
      <c r="C518" s="14"/>
      <c r="D518" s="14"/>
      <c r="E518" s="15"/>
    </row>
    <row r="519" spans="1:5" ht="14.25" customHeight="1" x14ac:dyDescent="0.3">
      <c r="A519" s="14"/>
      <c r="B519" s="14"/>
      <c r="C519" s="14"/>
      <c r="D519" s="14"/>
      <c r="E519" s="15"/>
    </row>
    <row r="520" spans="1:5" ht="14.25" customHeight="1" x14ac:dyDescent="0.3">
      <c r="A520" s="14"/>
      <c r="B520" s="14"/>
      <c r="C520" s="14"/>
      <c r="D520" s="14"/>
      <c r="E520" s="15"/>
    </row>
    <row r="521" spans="1:5" ht="14.25" customHeight="1" x14ac:dyDescent="0.3">
      <c r="A521" s="14"/>
      <c r="B521" s="14"/>
      <c r="C521" s="14"/>
      <c r="D521" s="14"/>
      <c r="E521" s="15"/>
    </row>
    <row r="522" spans="1:5" ht="14.25" customHeight="1" x14ac:dyDescent="0.3">
      <c r="A522" s="14"/>
      <c r="B522" s="14"/>
      <c r="C522" s="14"/>
      <c r="D522" s="14"/>
      <c r="E522" s="15"/>
    </row>
    <row r="523" spans="1:5" ht="14.25" customHeight="1" x14ac:dyDescent="0.3">
      <c r="A523" s="14"/>
      <c r="B523" s="14"/>
      <c r="C523" s="14"/>
      <c r="D523" s="14"/>
      <c r="E523" s="15"/>
    </row>
    <row r="524" spans="1:5" ht="14.25" customHeight="1" x14ac:dyDescent="0.3">
      <c r="A524" s="14"/>
      <c r="B524" s="14"/>
      <c r="C524" s="14"/>
      <c r="D524" s="14"/>
      <c r="E524" s="15"/>
    </row>
    <row r="525" spans="1:5" ht="14.25" customHeight="1" x14ac:dyDescent="0.3">
      <c r="A525" s="14"/>
      <c r="B525" s="14"/>
      <c r="C525" s="14"/>
      <c r="D525" s="14"/>
      <c r="E525" s="15"/>
    </row>
    <row r="526" spans="1:5" ht="14.25" customHeight="1" x14ac:dyDescent="0.3">
      <c r="A526" s="14"/>
      <c r="B526" s="14"/>
      <c r="C526" s="14"/>
      <c r="D526" s="14"/>
      <c r="E526" s="15"/>
    </row>
    <row r="527" spans="1:5" ht="14.25" customHeight="1" x14ac:dyDescent="0.3">
      <c r="A527" s="14"/>
      <c r="B527" s="14"/>
      <c r="C527" s="14"/>
      <c r="D527" s="14"/>
      <c r="E527" s="15"/>
    </row>
    <row r="528" spans="1:5" ht="14.25" customHeight="1" x14ac:dyDescent="0.3">
      <c r="A528" s="14"/>
      <c r="B528" s="14"/>
      <c r="C528" s="14"/>
      <c r="D528" s="14"/>
      <c r="E528" s="15"/>
    </row>
    <row r="529" spans="1:5" ht="14.25" customHeight="1" x14ac:dyDescent="0.3">
      <c r="A529" s="14"/>
      <c r="B529" s="14"/>
      <c r="C529" s="14"/>
      <c r="D529" s="14"/>
      <c r="E529" s="15"/>
    </row>
    <row r="530" spans="1:5" ht="14.25" customHeight="1" x14ac:dyDescent="0.3">
      <c r="A530" s="14"/>
      <c r="B530" s="14"/>
      <c r="C530" s="14"/>
      <c r="D530" s="14"/>
      <c r="E530" s="15"/>
    </row>
    <row r="531" spans="1:5" ht="14.25" customHeight="1" x14ac:dyDescent="0.3">
      <c r="A531" s="14"/>
      <c r="B531" s="14"/>
      <c r="C531" s="14"/>
      <c r="D531" s="14"/>
      <c r="E531" s="15"/>
    </row>
    <row r="532" spans="1:5" ht="14.25" customHeight="1" x14ac:dyDescent="0.3">
      <c r="A532" s="14"/>
      <c r="B532" s="14"/>
      <c r="C532" s="14"/>
      <c r="D532" s="14"/>
      <c r="E532" s="15"/>
    </row>
    <row r="533" spans="1:5" ht="14.25" customHeight="1" x14ac:dyDescent="0.3">
      <c r="A533" s="14"/>
      <c r="B533" s="14"/>
      <c r="C533" s="14"/>
      <c r="D533" s="14"/>
      <c r="E533" s="15"/>
    </row>
    <row r="534" spans="1:5" ht="14.25" customHeight="1" x14ac:dyDescent="0.3">
      <c r="A534" s="14"/>
      <c r="B534" s="14"/>
      <c r="C534" s="14"/>
      <c r="D534" s="14"/>
      <c r="E534" s="15"/>
    </row>
    <row r="535" spans="1:5" ht="14.25" customHeight="1" x14ac:dyDescent="0.3">
      <c r="A535" s="14"/>
      <c r="B535" s="14"/>
      <c r="C535" s="14"/>
      <c r="D535" s="14"/>
      <c r="E535" s="15"/>
    </row>
    <row r="536" spans="1:5" ht="14.25" customHeight="1" x14ac:dyDescent="0.3">
      <c r="A536" s="14"/>
      <c r="B536" s="14"/>
      <c r="C536" s="14"/>
      <c r="D536" s="14"/>
      <c r="E536" s="15"/>
    </row>
    <row r="537" spans="1:5" ht="14.25" customHeight="1" x14ac:dyDescent="0.3">
      <c r="A537" s="14"/>
      <c r="B537" s="14"/>
      <c r="C537" s="14"/>
      <c r="D537" s="14"/>
      <c r="E537" s="15"/>
    </row>
    <row r="538" spans="1:5" ht="14.25" customHeight="1" x14ac:dyDescent="0.3">
      <c r="A538" s="14"/>
      <c r="B538" s="14"/>
      <c r="C538" s="14"/>
      <c r="D538" s="14"/>
      <c r="E538" s="15"/>
    </row>
    <row r="539" spans="1:5" ht="14.25" customHeight="1" x14ac:dyDescent="0.3">
      <c r="A539" s="14"/>
      <c r="B539" s="14"/>
      <c r="C539" s="14"/>
      <c r="D539" s="14"/>
      <c r="E539" s="15"/>
    </row>
    <row r="540" spans="1:5" ht="14.25" customHeight="1" x14ac:dyDescent="0.3">
      <c r="A540" s="14"/>
      <c r="B540" s="14"/>
      <c r="C540" s="14"/>
      <c r="D540" s="14"/>
      <c r="E540" s="15"/>
    </row>
    <row r="541" spans="1:5" ht="14.25" customHeight="1" x14ac:dyDescent="0.3">
      <c r="A541" s="14"/>
      <c r="B541" s="14"/>
      <c r="C541" s="14"/>
      <c r="D541" s="14"/>
      <c r="E541" s="15"/>
    </row>
    <row r="542" spans="1:5" ht="14.25" customHeight="1" x14ac:dyDescent="0.3">
      <c r="A542" s="14"/>
      <c r="B542" s="14"/>
      <c r="C542" s="14"/>
      <c r="D542" s="14"/>
      <c r="E542" s="15"/>
    </row>
    <row r="543" spans="1:5" ht="14.25" customHeight="1" x14ac:dyDescent="0.3">
      <c r="A543" s="14"/>
      <c r="B543" s="14"/>
      <c r="C543" s="14"/>
      <c r="D543" s="14"/>
      <c r="E543" s="15"/>
    </row>
    <row r="544" spans="1:5" ht="14.25" customHeight="1" x14ac:dyDescent="0.3">
      <c r="A544" s="14"/>
      <c r="B544" s="14"/>
      <c r="C544" s="14"/>
      <c r="D544" s="14"/>
      <c r="E544" s="15"/>
    </row>
    <row r="545" spans="1:5" ht="14.25" customHeight="1" x14ac:dyDescent="0.3">
      <c r="A545" s="14"/>
      <c r="B545" s="14"/>
      <c r="C545" s="14"/>
      <c r="D545" s="14"/>
      <c r="E545" s="15"/>
    </row>
    <row r="546" spans="1:5" ht="14.25" customHeight="1" x14ac:dyDescent="0.3">
      <c r="A546" s="14"/>
      <c r="B546" s="14"/>
      <c r="C546" s="14"/>
      <c r="D546" s="14"/>
      <c r="E546" s="15"/>
    </row>
    <row r="547" spans="1:5" ht="14.25" customHeight="1" x14ac:dyDescent="0.3">
      <c r="A547" s="14"/>
      <c r="B547" s="14"/>
      <c r="C547" s="14"/>
      <c r="D547" s="14"/>
      <c r="E547" s="15"/>
    </row>
    <row r="548" spans="1:5" ht="14.25" customHeight="1" x14ac:dyDescent="0.3">
      <c r="A548" s="14"/>
      <c r="B548" s="14"/>
      <c r="C548" s="14"/>
      <c r="D548" s="14"/>
      <c r="E548" s="15"/>
    </row>
    <row r="549" spans="1:5" ht="14.25" customHeight="1" x14ac:dyDescent="0.3">
      <c r="A549" s="14"/>
      <c r="B549" s="14"/>
      <c r="C549" s="14"/>
      <c r="D549" s="14"/>
      <c r="E549" s="15"/>
    </row>
    <row r="550" spans="1:5" ht="14.25" customHeight="1" x14ac:dyDescent="0.3">
      <c r="A550" s="14"/>
      <c r="B550" s="14"/>
      <c r="C550" s="14"/>
      <c r="D550" s="14"/>
      <c r="E550" s="15"/>
    </row>
    <row r="551" spans="1:5" ht="14.25" customHeight="1" x14ac:dyDescent="0.3">
      <c r="A551" s="14"/>
      <c r="B551" s="14"/>
      <c r="C551" s="14"/>
      <c r="D551" s="14"/>
      <c r="E551" s="15"/>
    </row>
    <row r="552" spans="1:5" ht="14.25" customHeight="1" x14ac:dyDescent="0.3">
      <c r="A552" s="14"/>
      <c r="B552" s="14"/>
      <c r="C552" s="14"/>
      <c r="D552" s="14"/>
      <c r="E552" s="15"/>
    </row>
    <row r="553" spans="1:5" ht="14.25" customHeight="1" x14ac:dyDescent="0.3">
      <c r="A553" s="14"/>
      <c r="B553" s="14"/>
      <c r="C553" s="14"/>
      <c r="D553" s="14"/>
      <c r="E553" s="15"/>
    </row>
    <row r="554" spans="1:5" ht="14.25" customHeight="1" x14ac:dyDescent="0.3">
      <c r="A554" s="14"/>
      <c r="B554" s="14"/>
      <c r="C554" s="14"/>
      <c r="D554" s="14"/>
      <c r="E554" s="15"/>
    </row>
    <row r="555" spans="1:5" ht="14.25" customHeight="1" x14ac:dyDescent="0.3">
      <c r="A555" s="14"/>
      <c r="B555" s="14"/>
      <c r="C555" s="14"/>
      <c r="D555" s="14"/>
      <c r="E555" s="15"/>
    </row>
    <row r="556" spans="1:5" ht="14.25" customHeight="1" x14ac:dyDescent="0.3">
      <c r="A556" s="14"/>
      <c r="B556" s="14"/>
      <c r="C556" s="14"/>
      <c r="D556" s="14"/>
      <c r="E556" s="15"/>
    </row>
    <row r="557" spans="1:5" ht="14.25" customHeight="1" x14ac:dyDescent="0.3">
      <c r="A557" s="14"/>
      <c r="B557" s="14"/>
      <c r="C557" s="14"/>
      <c r="D557" s="14"/>
      <c r="E557" s="15"/>
    </row>
    <row r="558" spans="1:5" ht="14.25" customHeight="1" x14ac:dyDescent="0.3">
      <c r="A558" s="14"/>
      <c r="B558" s="14"/>
      <c r="C558" s="14"/>
      <c r="D558" s="14"/>
      <c r="E558" s="15"/>
    </row>
    <row r="559" spans="1:5" ht="14.25" customHeight="1" x14ac:dyDescent="0.3">
      <c r="A559" s="14"/>
      <c r="B559" s="14"/>
      <c r="C559" s="14"/>
      <c r="D559" s="14"/>
      <c r="E559" s="15"/>
    </row>
    <row r="560" spans="1:5" ht="14.25" customHeight="1" x14ac:dyDescent="0.3">
      <c r="A560" s="14"/>
      <c r="B560" s="14"/>
      <c r="C560" s="14"/>
      <c r="D560" s="14"/>
      <c r="E560" s="15"/>
    </row>
    <row r="561" spans="1:5" ht="14.25" customHeight="1" x14ac:dyDescent="0.3">
      <c r="A561" s="14"/>
      <c r="B561" s="14"/>
      <c r="C561" s="14"/>
      <c r="D561" s="14"/>
      <c r="E561" s="15"/>
    </row>
    <row r="562" spans="1:5" ht="14.25" customHeight="1" x14ac:dyDescent="0.3">
      <c r="A562" s="14"/>
      <c r="B562" s="14"/>
      <c r="C562" s="14"/>
      <c r="D562" s="14"/>
      <c r="E562" s="15"/>
    </row>
    <row r="563" spans="1:5" ht="14.25" customHeight="1" x14ac:dyDescent="0.3">
      <c r="A563" s="14"/>
      <c r="B563" s="14"/>
      <c r="C563" s="14"/>
      <c r="D563" s="14"/>
      <c r="E563" s="15"/>
    </row>
    <row r="564" spans="1:5" ht="14.25" customHeight="1" x14ac:dyDescent="0.3">
      <c r="A564" s="14"/>
      <c r="B564" s="14"/>
      <c r="C564" s="14"/>
      <c r="D564" s="14"/>
      <c r="E564" s="15"/>
    </row>
    <row r="565" spans="1:5" ht="14.25" customHeight="1" x14ac:dyDescent="0.3">
      <c r="A565" s="14"/>
      <c r="B565" s="14"/>
      <c r="C565" s="14"/>
      <c r="D565" s="14"/>
      <c r="E565" s="15"/>
    </row>
    <row r="566" spans="1:5" ht="14.25" customHeight="1" x14ac:dyDescent="0.3">
      <c r="A566" s="14"/>
      <c r="B566" s="14"/>
      <c r="C566" s="14"/>
      <c r="D566" s="14"/>
      <c r="E566" s="15"/>
    </row>
    <row r="567" spans="1:5" ht="14.25" customHeight="1" x14ac:dyDescent="0.3">
      <c r="A567" s="14"/>
      <c r="B567" s="14"/>
      <c r="C567" s="14"/>
      <c r="D567" s="14"/>
      <c r="E567" s="15"/>
    </row>
    <row r="568" spans="1:5" ht="14.25" customHeight="1" x14ac:dyDescent="0.3">
      <c r="A568" s="14"/>
      <c r="B568" s="14"/>
      <c r="C568" s="14"/>
      <c r="D568" s="14"/>
      <c r="E568" s="15"/>
    </row>
    <row r="569" spans="1:5" ht="14.25" customHeight="1" x14ac:dyDescent="0.3">
      <c r="A569" s="14"/>
      <c r="B569" s="14"/>
      <c r="C569" s="14"/>
      <c r="D569" s="14"/>
      <c r="E569" s="15"/>
    </row>
    <row r="570" spans="1:5" ht="14.25" customHeight="1" x14ac:dyDescent="0.3">
      <c r="A570" s="14"/>
      <c r="B570" s="14"/>
      <c r="C570" s="14"/>
      <c r="D570" s="14"/>
      <c r="E570" s="15"/>
    </row>
    <row r="571" spans="1:5" ht="14.25" customHeight="1" x14ac:dyDescent="0.3">
      <c r="A571" s="14"/>
      <c r="B571" s="14"/>
      <c r="C571" s="14"/>
      <c r="D571" s="14"/>
      <c r="E571" s="15"/>
    </row>
    <row r="572" spans="1:5" ht="14.25" customHeight="1" x14ac:dyDescent="0.3">
      <c r="A572" s="14"/>
      <c r="B572" s="14"/>
      <c r="C572" s="14"/>
      <c r="D572" s="14"/>
      <c r="E572" s="15"/>
    </row>
    <row r="573" spans="1:5" ht="14.25" customHeight="1" x14ac:dyDescent="0.3">
      <c r="A573" s="14"/>
      <c r="B573" s="14"/>
      <c r="C573" s="14"/>
      <c r="D573" s="14"/>
      <c r="E573" s="15"/>
    </row>
    <row r="574" spans="1:5" ht="14.25" customHeight="1" x14ac:dyDescent="0.3">
      <c r="A574" s="14"/>
      <c r="B574" s="14"/>
      <c r="C574" s="14"/>
      <c r="D574" s="14"/>
      <c r="E574" s="15"/>
    </row>
    <row r="575" spans="1:5" ht="14.25" customHeight="1" x14ac:dyDescent="0.3">
      <c r="A575" s="14"/>
      <c r="B575" s="14"/>
      <c r="C575" s="14"/>
      <c r="D575" s="14"/>
      <c r="E575" s="15"/>
    </row>
    <row r="576" spans="1:5" ht="14.25" customHeight="1" x14ac:dyDescent="0.3">
      <c r="A576" s="14"/>
      <c r="B576" s="14"/>
      <c r="C576" s="14"/>
      <c r="D576" s="14"/>
      <c r="E576" s="15"/>
    </row>
    <row r="577" spans="1:5" ht="14.25" customHeight="1" x14ac:dyDescent="0.3">
      <c r="A577" s="14"/>
      <c r="B577" s="14"/>
      <c r="C577" s="14"/>
      <c r="D577" s="14"/>
      <c r="E577" s="15"/>
    </row>
    <row r="578" spans="1:5" ht="14.25" customHeight="1" x14ac:dyDescent="0.3">
      <c r="A578" s="14"/>
      <c r="B578" s="14"/>
      <c r="C578" s="14"/>
      <c r="D578" s="14"/>
      <c r="E578" s="15"/>
    </row>
    <row r="579" spans="1:5" ht="14.25" customHeight="1" x14ac:dyDescent="0.3">
      <c r="A579" s="14"/>
      <c r="B579" s="14"/>
      <c r="C579" s="14"/>
      <c r="D579" s="14"/>
      <c r="E579" s="15"/>
    </row>
    <row r="580" spans="1:5" ht="14.25" customHeight="1" x14ac:dyDescent="0.3">
      <c r="A580" s="14"/>
      <c r="B580" s="14"/>
      <c r="C580" s="14"/>
      <c r="D580" s="14"/>
      <c r="E580" s="15"/>
    </row>
    <row r="581" spans="1:5" ht="14.25" customHeight="1" x14ac:dyDescent="0.3">
      <c r="A581" s="14"/>
      <c r="B581" s="14"/>
      <c r="C581" s="14"/>
      <c r="D581" s="14"/>
      <c r="E581" s="15"/>
    </row>
    <row r="582" spans="1:5" ht="14.25" customHeight="1" x14ac:dyDescent="0.3">
      <c r="A582" s="14"/>
      <c r="B582" s="14"/>
      <c r="C582" s="14"/>
      <c r="D582" s="14"/>
      <c r="E582" s="15"/>
    </row>
    <row r="583" spans="1:5" ht="14.25" customHeight="1" x14ac:dyDescent="0.3">
      <c r="A583" s="14"/>
      <c r="B583" s="14"/>
      <c r="C583" s="14"/>
      <c r="D583" s="14"/>
      <c r="E583" s="15"/>
    </row>
    <row r="584" spans="1:5" ht="14.25" customHeight="1" x14ac:dyDescent="0.3">
      <c r="A584" s="14"/>
      <c r="B584" s="14"/>
      <c r="C584" s="14"/>
      <c r="D584" s="14"/>
      <c r="E584" s="15"/>
    </row>
    <row r="585" spans="1:5" ht="14.25" customHeight="1" x14ac:dyDescent="0.3">
      <c r="A585" s="14"/>
      <c r="B585" s="14"/>
      <c r="C585" s="14"/>
      <c r="D585" s="14"/>
      <c r="E585" s="15"/>
    </row>
    <row r="586" spans="1:5" ht="14.25" customHeight="1" x14ac:dyDescent="0.3">
      <c r="A586" s="14"/>
      <c r="B586" s="14"/>
      <c r="C586" s="14"/>
      <c r="D586" s="14"/>
      <c r="E586" s="15"/>
    </row>
    <row r="587" spans="1:5" ht="14.25" customHeight="1" x14ac:dyDescent="0.3">
      <c r="A587" s="14"/>
      <c r="B587" s="14"/>
      <c r="C587" s="14"/>
      <c r="D587" s="14"/>
      <c r="E587" s="15"/>
    </row>
    <row r="588" spans="1:5" ht="14.25" customHeight="1" x14ac:dyDescent="0.3">
      <c r="A588" s="14"/>
      <c r="B588" s="14"/>
      <c r="C588" s="14"/>
      <c r="D588" s="14"/>
      <c r="E588" s="15"/>
    </row>
    <row r="589" spans="1:5" ht="14.25" customHeight="1" x14ac:dyDescent="0.3">
      <c r="A589" s="14"/>
      <c r="B589" s="14"/>
      <c r="C589" s="14"/>
      <c r="D589" s="14"/>
      <c r="E589" s="15"/>
    </row>
    <row r="590" spans="1:5" ht="14.25" customHeight="1" x14ac:dyDescent="0.3">
      <c r="A590" s="14"/>
      <c r="B590" s="14"/>
      <c r="C590" s="14"/>
      <c r="D590" s="14"/>
      <c r="E590" s="15"/>
    </row>
    <row r="591" spans="1:5" ht="14.25" customHeight="1" x14ac:dyDescent="0.3">
      <c r="A591" s="14"/>
      <c r="B591" s="14"/>
      <c r="C591" s="14"/>
      <c r="D591" s="14"/>
      <c r="E591" s="15"/>
    </row>
    <row r="592" spans="1:5" ht="14.25" customHeight="1" x14ac:dyDescent="0.3">
      <c r="A592" s="14"/>
      <c r="B592" s="14"/>
      <c r="C592" s="14"/>
      <c r="D592" s="14"/>
      <c r="E592" s="15"/>
    </row>
    <row r="593" spans="1:5" ht="14.25" customHeight="1" x14ac:dyDescent="0.3">
      <c r="A593" s="14"/>
      <c r="B593" s="14"/>
      <c r="C593" s="14"/>
      <c r="D593" s="14"/>
      <c r="E593" s="15"/>
    </row>
    <row r="594" spans="1:5" ht="14.25" customHeight="1" x14ac:dyDescent="0.3">
      <c r="A594" s="14"/>
      <c r="B594" s="14"/>
      <c r="C594" s="14"/>
      <c r="D594" s="14"/>
      <c r="E594" s="15"/>
    </row>
    <row r="595" spans="1:5" ht="14.25" customHeight="1" x14ac:dyDescent="0.3">
      <c r="A595" s="14"/>
      <c r="B595" s="14"/>
      <c r="C595" s="14"/>
      <c r="D595" s="14"/>
      <c r="E595" s="15"/>
    </row>
    <row r="596" spans="1:5" ht="14.25" customHeight="1" x14ac:dyDescent="0.3">
      <c r="A596" s="14"/>
      <c r="B596" s="14"/>
      <c r="C596" s="14"/>
      <c r="D596" s="14"/>
      <c r="E596" s="15"/>
    </row>
    <row r="597" spans="1:5" ht="14.25" customHeight="1" x14ac:dyDescent="0.3">
      <c r="A597" s="14"/>
      <c r="B597" s="14"/>
      <c r="C597" s="14"/>
      <c r="D597" s="14"/>
      <c r="E597" s="15"/>
    </row>
    <row r="598" spans="1:5" ht="14.25" customHeight="1" x14ac:dyDescent="0.3">
      <c r="A598" s="14"/>
      <c r="B598" s="14"/>
      <c r="C598" s="14"/>
      <c r="D598" s="14"/>
      <c r="E598" s="15"/>
    </row>
    <row r="599" spans="1:5" ht="14.25" customHeight="1" x14ac:dyDescent="0.3">
      <c r="A599" s="14"/>
      <c r="B599" s="14"/>
      <c r="C599" s="14"/>
      <c r="D599" s="14"/>
      <c r="E599" s="15"/>
    </row>
    <row r="600" spans="1:5" ht="14.25" customHeight="1" x14ac:dyDescent="0.3">
      <c r="A600" s="14"/>
      <c r="B600" s="14"/>
      <c r="C600" s="14"/>
      <c r="D600" s="14"/>
      <c r="E600" s="15"/>
    </row>
    <row r="601" spans="1:5" ht="14.25" customHeight="1" x14ac:dyDescent="0.3">
      <c r="A601" s="14"/>
      <c r="B601" s="14"/>
      <c r="C601" s="14"/>
      <c r="D601" s="14"/>
      <c r="E601" s="15"/>
    </row>
    <row r="602" spans="1:5" ht="14.25" customHeight="1" x14ac:dyDescent="0.3">
      <c r="A602" s="14"/>
      <c r="B602" s="14"/>
      <c r="C602" s="14"/>
      <c r="D602" s="14"/>
      <c r="E602" s="15"/>
    </row>
    <row r="603" spans="1:5" ht="14.25" customHeight="1" x14ac:dyDescent="0.3">
      <c r="A603" s="14"/>
      <c r="B603" s="14"/>
      <c r="C603" s="14"/>
      <c r="D603" s="14"/>
      <c r="E603" s="15"/>
    </row>
    <row r="604" spans="1:5" ht="14.25" customHeight="1" x14ac:dyDescent="0.3">
      <c r="A604" s="14"/>
      <c r="B604" s="14"/>
      <c r="C604" s="14"/>
      <c r="D604" s="14"/>
      <c r="E604" s="15"/>
    </row>
    <row r="605" spans="1:5" ht="14.25" customHeight="1" x14ac:dyDescent="0.3">
      <c r="A605" s="14"/>
      <c r="B605" s="14"/>
      <c r="C605" s="14"/>
      <c r="D605" s="14"/>
      <c r="E605" s="15"/>
    </row>
    <row r="606" spans="1:5" ht="14.25" customHeight="1" x14ac:dyDescent="0.3">
      <c r="A606" s="14"/>
      <c r="B606" s="14"/>
      <c r="C606" s="14"/>
      <c r="D606" s="14"/>
      <c r="E606" s="15"/>
    </row>
    <row r="607" spans="1:5" ht="14.25" customHeight="1" x14ac:dyDescent="0.3">
      <c r="A607" s="14"/>
      <c r="B607" s="14"/>
      <c r="C607" s="14"/>
      <c r="D607" s="14"/>
      <c r="E607" s="15"/>
    </row>
    <row r="608" spans="1:5" ht="14.25" customHeight="1" x14ac:dyDescent="0.3">
      <c r="A608" s="14"/>
      <c r="B608" s="14"/>
      <c r="C608" s="14"/>
      <c r="D608" s="14"/>
      <c r="E608" s="15"/>
    </row>
    <row r="609" spans="1:5" ht="14.25" customHeight="1" x14ac:dyDescent="0.3">
      <c r="A609" s="14"/>
      <c r="B609" s="14"/>
      <c r="C609" s="14"/>
      <c r="D609" s="14"/>
      <c r="E609" s="15"/>
    </row>
    <row r="610" spans="1:5" ht="14.25" customHeight="1" x14ac:dyDescent="0.3">
      <c r="A610" s="14"/>
      <c r="B610" s="14"/>
      <c r="C610" s="14"/>
      <c r="D610" s="14"/>
      <c r="E610" s="15"/>
    </row>
    <row r="611" spans="1:5" ht="14.25" customHeight="1" x14ac:dyDescent="0.3">
      <c r="A611" s="14"/>
      <c r="B611" s="14"/>
      <c r="C611" s="14"/>
      <c r="D611" s="14"/>
      <c r="E611" s="15"/>
    </row>
    <row r="612" spans="1:5" ht="14.25" customHeight="1" x14ac:dyDescent="0.3">
      <c r="A612" s="14"/>
      <c r="B612" s="14"/>
      <c r="C612" s="14"/>
      <c r="D612" s="14"/>
      <c r="E612" s="15"/>
    </row>
    <row r="613" spans="1:5" ht="14.25" customHeight="1" x14ac:dyDescent="0.3">
      <c r="A613" s="14"/>
      <c r="B613" s="14"/>
      <c r="C613" s="14"/>
      <c r="D613" s="14"/>
      <c r="E613" s="15"/>
    </row>
    <row r="614" spans="1:5" ht="14.25" customHeight="1" x14ac:dyDescent="0.3">
      <c r="A614" s="14"/>
      <c r="B614" s="14"/>
      <c r="C614" s="14"/>
      <c r="D614" s="14"/>
      <c r="E614" s="15"/>
    </row>
    <row r="615" spans="1:5" ht="14.25" customHeight="1" x14ac:dyDescent="0.3">
      <c r="A615" s="14"/>
      <c r="B615" s="14"/>
      <c r="C615" s="14"/>
      <c r="D615" s="14"/>
      <c r="E615" s="15"/>
    </row>
    <row r="616" spans="1:5" ht="14.25" customHeight="1" x14ac:dyDescent="0.3">
      <c r="A616" s="14"/>
      <c r="B616" s="14"/>
      <c r="C616" s="14"/>
      <c r="D616" s="14"/>
      <c r="E616" s="15"/>
    </row>
    <row r="617" spans="1:5" ht="14.25" customHeight="1" x14ac:dyDescent="0.3">
      <c r="A617" s="14"/>
      <c r="B617" s="14"/>
      <c r="C617" s="14"/>
      <c r="D617" s="14"/>
      <c r="E617" s="15"/>
    </row>
    <row r="618" spans="1:5" ht="14.25" customHeight="1" x14ac:dyDescent="0.3">
      <c r="A618" s="14"/>
      <c r="B618" s="14"/>
      <c r="C618" s="14"/>
      <c r="D618" s="14"/>
      <c r="E618" s="15"/>
    </row>
    <row r="619" spans="1:5" ht="14.25" customHeight="1" x14ac:dyDescent="0.3">
      <c r="A619" s="14"/>
      <c r="B619" s="14"/>
      <c r="C619" s="14"/>
      <c r="D619" s="14"/>
      <c r="E619" s="15"/>
    </row>
    <row r="620" spans="1:5" ht="14.25" customHeight="1" x14ac:dyDescent="0.3">
      <c r="A620" s="14"/>
      <c r="B620" s="14"/>
      <c r="C620" s="14"/>
      <c r="D620" s="14"/>
      <c r="E620" s="15"/>
    </row>
    <row r="621" spans="1:5" ht="14.25" customHeight="1" x14ac:dyDescent="0.3">
      <c r="A621" s="14"/>
      <c r="B621" s="14"/>
      <c r="C621" s="14"/>
      <c r="D621" s="14"/>
      <c r="E621" s="15"/>
    </row>
    <row r="622" spans="1:5" ht="14.25" customHeight="1" x14ac:dyDescent="0.3">
      <c r="A622" s="14"/>
      <c r="B622" s="14"/>
      <c r="C622" s="14"/>
      <c r="D622" s="14"/>
      <c r="E622" s="15"/>
    </row>
    <row r="623" spans="1:5" ht="14.25" customHeight="1" x14ac:dyDescent="0.3">
      <c r="A623" s="14"/>
      <c r="B623" s="14"/>
      <c r="C623" s="14"/>
      <c r="D623" s="14"/>
      <c r="E623" s="15"/>
    </row>
    <row r="624" spans="1:5" ht="14.25" customHeight="1" x14ac:dyDescent="0.3">
      <c r="A624" s="14"/>
      <c r="B624" s="14"/>
      <c r="C624" s="14"/>
      <c r="D624" s="14"/>
      <c r="E624" s="15"/>
    </row>
    <row r="625" spans="1:5" ht="14.25" customHeight="1" x14ac:dyDescent="0.3">
      <c r="A625" s="14"/>
      <c r="B625" s="14"/>
      <c r="C625" s="14"/>
      <c r="D625" s="14"/>
      <c r="E625" s="15"/>
    </row>
    <row r="626" spans="1:5" ht="14.25" customHeight="1" x14ac:dyDescent="0.3">
      <c r="A626" s="14"/>
      <c r="B626" s="14"/>
      <c r="C626" s="14"/>
      <c r="D626" s="14"/>
      <c r="E626" s="15"/>
    </row>
    <row r="627" spans="1:5" ht="14.25" customHeight="1" x14ac:dyDescent="0.3">
      <c r="A627" s="14"/>
      <c r="B627" s="14"/>
      <c r="C627" s="14"/>
      <c r="D627" s="14"/>
      <c r="E627" s="15"/>
    </row>
    <row r="628" spans="1:5" ht="14.25" customHeight="1" x14ac:dyDescent="0.3">
      <c r="A628" s="14"/>
      <c r="B628" s="14"/>
      <c r="C628" s="14"/>
      <c r="D628" s="14"/>
      <c r="E628" s="15"/>
    </row>
    <row r="629" spans="1:5" ht="14.25" customHeight="1" x14ac:dyDescent="0.3">
      <c r="A629" s="14"/>
      <c r="B629" s="14"/>
      <c r="C629" s="14"/>
      <c r="D629" s="14"/>
      <c r="E629" s="15"/>
    </row>
    <row r="630" spans="1:5" ht="14.25" customHeight="1" x14ac:dyDescent="0.3">
      <c r="A630" s="14"/>
      <c r="B630" s="14"/>
      <c r="C630" s="14"/>
      <c r="D630" s="14"/>
      <c r="E630" s="15"/>
    </row>
    <row r="631" spans="1:5" ht="14.25" customHeight="1" x14ac:dyDescent="0.3">
      <c r="A631" s="14"/>
      <c r="B631" s="14"/>
      <c r="C631" s="14"/>
      <c r="D631" s="14"/>
      <c r="E631" s="15"/>
    </row>
    <row r="632" spans="1:5" ht="14.25" customHeight="1" x14ac:dyDescent="0.3">
      <c r="A632" s="14"/>
      <c r="B632" s="14"/>
      <c r="C632" s="14"/>
      <c r="D632" s="14"/>
      <c r="E632" s="15"/>
    </row>
    <row r="633" spans="1:5" ht="14.25" customHeight="1" x14ac:dyDescent="0.3">
      <c r="A633" s="14"/>
      <c r="B633" s="14"/>
      <c r="C633" s="14"/>
      <c r="D633" s="14"/>
      <c r="E633" s="15"/>
    </row>
    <row r="634" spans="1:5" ht="14.25" customHeight="1" x14ac:dyDescent="0.3">
      <c r="A634" s="14"/>
      <c r="B634" s="14"/>
      <c r="C634" s="14"/>
      <c r="D634" s="14"/>
      <c r="E634" s="15"/>
    </row>
    <row r="635" spans="1:5" ht="14.25" customHeight="1" x14ac:dyDescent="0.3">
      <c r="A635" s="14"/>
      <c r="B635" s="14"/>
      <c r="C635" s="14"/>
      <c r="D635" s="14"/>
      <c r="E635" s="15"/>
    </row>
    <row r="636" spans="1:5" ht="14.25" customHeight="1" x14ac:dyDescent="0.3">
      <c r="A636" s="14"/>
      <c r="B636" s="14"/>
      <c r="C636" s="14"/>
      <c r="D636" s="14"/>
      <c r="E636" s="15"/>
    </row>
    <row r="637" spans="1:5" ht="14.25" customHeight="1" x14ac:dyDescent="0.3">
      <c r="A637" s="14"/>
      <c r="B637" s="14"/>
      <c r="C637" s="14"/>
      <c r="D637" s="14"/>
      <c r="E637" s="15"/>
    </row>
    <row r="638" spans="1:5" ht="14.25" customHeight="1" x14ac:dyDescent="0.3">
      <c r="A638" s="14"/>
      <c r="B638" s="14"/>
      <c r="C638" s="14"/>
      <c r="D638" s="14"/>
      <c r="E638" s="15"/>
    </row>
    <row r="639" spans="1:5" ht="14.25" customHeight="1" x14ac:dyDescent="0.3">
      <c r="A639" s="14"/>
      <c r="B639" s="14"/>
      <c r="C639" s="14"/>
      <c r="D639" s="14"/>
      <c r="E639" s="15"/>
    </row>
    <row r="640" spans="1:5" ht="14.25" customHeight="1" x14ac:dyDescent="0.3">
      <c r="A640" s="14"/>
      <c r="B640" s="14"/>
      <c r="C640" s="14"/>
      <c r="D640" s="14"/>
      <c r="E640" s="15"/>
    </row>
    <row r="641" spans="1:5" ht="14.25" customHeight="1" x14ac:dyDescent="0.3">
      <c r="A641" s="14"/>
      <c r="B641" s="14"/>
      <c r="C641" s="14"/>
      <c r="D641" s="14"/>
      <c r="E641" s="15"/>
    </row>
    <row r="642" spans="1:5" ht="14.25" customHeight="1" x14ac:dyDescent="0.3">
      <c r="A642" s="14"/>
      <c r="B642" s="14"/>
      <c r="C642" s="14"/>
      <c r="D642" s="14"/>
      <c r="E642" s="15"/>
    </row>
    <row r="643" spans="1:5" ht="14.25" customHeight="1" x14ac:dyDescent="0.3">
      <c r="A643" s="14"/>
      <c r="B643" s="14"/>
      <c r="C643" s="14"/>
      <c r="D643" s="14"/>
      <c r="E643" s="15"/>
    </row>
    <row r="644" spans="1:5" ht="14.25" customHeight="1" x14ac:dyDescent="0.3">
      <c r="A644" s="14"/>
      <c r="B644" s="14"/>
      <c r="C644" s="14"/>
      <c r="D644" s="14"/>
      <c r="E644" s="15"/>
    </row>
    <row r="645" spans="1:5" ht="14.25" customHeight="1" x14ac:dyDescent="0.3">
      <c r="A645" s="14"/>
      <c r="B645" s="14"/>
      <c r="C645" s="14"/>
      <c r="D645" s="14"/>
      <c r="E645" s="15"/>
    </row>
    <row r="646" spans="1:5" ht="14.25" customHeight="1" x14ac:dyDescent="0.3">
      <c r="A646" s="14"/>
      <c r="B646" s="14"/>
      <c r="C646" s="14"/>
      <c r="D646" s="14"/>
      <c r="E646" s="15"/>
    </row>
    <row r="647" spans="1:5" ht="14.25" customHeight="1" x14ac:dyDescent="0.3">
      <c r="A647" s="14"/>
      <c r="B647" s="14"/>
      <c r="C647" s="14"/>
      <c r="D647" s="14"/>
      <c r="E647" s="15"/>
    </row>
    <row r="648" spans="1:5" ht="14.25" customHeight="1" x14ac:dyDescent="0.3">
      <c r="A648" s="14"/>
      <c r="B648" s="14"/>
      <c r="C648" s="14"/>
      <c r="D648" s="14"/>
      <c r="E648" s="15"/>
    </row>
    <row r="649" spans="1:5" ht="14.25" customHeight="1" x14ac:dyDescent="0.3">
      <c r="A649" s="14"/>
      <c r="B649" s="14"/>
      <c r="C649" s="14"/>
      <c r="D649" s="14"/>
      <c r="E649" s="15"/>
    </row>
    <row r="650" spans="1:5" ht="14.25" customHeight="1" x14ac:dyDescent="0.3">
      <c r="A650" s="14"/>
      <c r="B650" s="14"/>
      <c r="C650" s="14"/>
      <c r="D650" s="14"/>
      <c r="E650" s="15"/>
    </row>
    <row r="651" spans="1:5" ht="14.25" customHeight="1" x14ac:dyDescent="0.3">
      <c r="A651" s="14"/>
      <c r="B651" s="14"/>
      <c r="C651" s="14"/>
      <c r="D651" s="14"/>
      <c r="E651" s="15"/>
    </row>
    <row r="652" spans="1:5" ht="14.25" customHeight="1" x14ac:dyDescent="0.3">
      <c r="A652" s="14"/>
      <c r="B652" s="14"/>
      <c r="C652" s="14"/>
      <c r="D652" s="14"/>
      <c r="E652" s="15"/>
    </row>
    <row r="653" spans="1:5" ht="14.25" customHeight="1" x14ac:dyDescent="0.3">
      <c r="A653" s="14"/>
      <c r="B653" s="14"/>
      <c r="C653" s="14"/>
      <c r="D653" s="14"/>
      <c r="E653" s="15"/>
    </row>
    <row r="654" spans="1:5" ht="14.25" customHeight="1" x14ac:dyDescent="0.3">
      <c r="A654" s="14"/>
      <c r="B654" s="14"/>
      <c r="C654" s="14"/>
      <c r="D654" s="14"/>
      <c r="E654" s="15"/>
    </row>
    <row r="655" spans="1:5" ht="14.25" customHeight="1" x14ac:dyDescent="0.3">
      <c r="A655" s="14"/>
      <c r="B655" s="14"/>
      <c r="C655" s="14"/>
      <c r="D655" s="14"/>
      <c r="E655" s="15"/>
    </row>
    <row r="656" spans="1:5" ht="14.25" customHeight="1" x14ac:dyDescent="0.3">
      <c r="A656" s="14"/>
      <c r="B656" s="14"/>
      <c r="C656" s="14"/>
      <c r="D656" s="14"/>
      <c r="E656" s="15"/>
    </row>
    <row r="657" spans="1:5" ht="14.25" customHeight="1" x14ac:dyDescent="0.3">
      <c r="A657" s="14"/>
      <c r="B657" s="14"/>
      <c r="C657" s="14"/>
      <c r="D657" s="14"/>
      <c r="E657" s="15"/>
    </row>
    <row r="658" spans="1:5" ht="14.25" customHeight="1" x14ac:dyDescent="0.3">
      <c r="A658" s="14"/>
      <c r="B658" s="14"/>
      <c r="C658" s="14"/>
      <c r="D658" s="14"/>
      <c r="E658" s="15"/>
    </row>
    <row r="659" spans="1:5" ht="14.25" customHeight="1" x14ac:dyDescent="0.3">
      <c r="A659" s="14"/>
      <c r="B659" s="14"/>
      <c r="C659" s="14"/>
      <c r="D659" s="14"/>
      <c r="E659" s="15"/>
    </row>
    <row r="660" spans="1:5" ht="14.25" customHeight="1" x14ac:dyDescent="0.3">
      <c r="A660" s="14"/>
      <c r="B660" s="14"/>
      <c r="C660" s="14"/>
      <c r="D660" s="14"/>
      <c r="E660" s="15"/>
    </row>
    <row r="661" spans="1:5" ht="14.25" customHeight="1" x14ac:dyDescent="0.3">
      <c r="A661" s="14"/>
      <c r="B661" s="14"/>
      <c r="C661" s="14"/>
      <c r="D661" s="14"/>
      <c r="E661" s="15"/>
    </row>
    <row r="662" spans="1:5" ht="14.25" customHeight="1" x14ac:dyDescent="0.3">
      <c r="A662" s="14"/>
      <c r="B662" s="14"/>
      <c r="C662" s="14"/>
      <c r="D662" s="14"/>
      <c r="E662" s="15"/>
    </row>
    <row r="663" spans="1:5" ht="14.25" customHeight="1" x14ac:dyDescent="0.3">
      <c r="A663" s="14"/>
      <c r="B663" s="14"/>
      <c r="C663" s="14"/>
      <c r="D663" s="14"/>
      <c r="E663" s="15"/>
    </row>
    <row r="664" spans="1:5" ht="14.25" customHeight="1" x14ac:dyDescent="0.3">
      <c r="A664" s="14"/>
      <c r="B664" s="14"/>
      <c r="C664" s="14"/>
      <c r="D664" s="14"/>
      <c r="E664" s="15"/>
    </row>
    <row r="665" spans="1:5" ht="14.25" customHeight="1" x14ac:dyDescent="0.3">
      <c r="A665" s="14"/>
      <c r="B665" s="14"/>
      <c r="C665" s="14"/>
      <c r="D665" s="14"/>
      <c r="E665" s="15"/>
    </row>
    <row r="666" spans="1:5" ht="14.25" customHeight="1" x14ac:dyDescent="0.3">
      <c r="A666" s="14"/>
      <c r="B666" s="14"/>
      <c r="C666" s="14"/>
      <c r="D666" s="14"/>
      <c r="E666" s="15"/>
    </row>
    <row r="667" spans="1:5" ht="14.25" customHeight="1" x14ac:dyDescent="0.3">
      <c r="A667" s="14"/>
      <c r="B667" s="14"/>
      <c r="C667" s="14"/>
      <c r="D667" s="14"/>
      <c r="E667" s="15"/>
    </row>
    <row r="668" spans="1:5" ht="14.25" customHeight="1" x14ac:dyDescent="0.3">
      <c r="A668" s="14"/>
      <c r="B668" s="14"/>
      <c r="C668" s="14"/>
      <c r="D668" s="14"/>
      <c r="E668" s="15"/>
    </row>
    <row r="669" spans="1:5" ht="14.25" customHeight="1" x14ac:dyDescent="0.3">
      <c r="A669" s="14"/>
      <c r="B669" s="14"/>
      <c r="C669" s="14"/>
      <c r="D669" s="14"/>
      <c r="E669" s="15"/>
    </row>
    <row r="670" spans="1:5" ht="14.25" customHeight="1" x14ac:dyDescent="0.3">
      <c r="A670" s="14"/>
      <c r="B670" s="14"/>
      <c r="C670" s="14"/>
      <c r="D670" s="14"/>
      <c r="E670" s="15"/>
    </row>
    <row r="671" spans="1:5" ht="14.25" customHeight="1" x14ac:dyDescent="0.3">
      <c r="A671" s="14"/>
      <c r="B671" s="14"/>
      <c r="C671" s="14"/>
      <c r="D671" s="14"/>
      <c r="E671" s="15"/>
    </row>
    <row r="672" spans="1:5" ht="14.25" customHeight="1" x14ac:dyDescent="0.3">
      <c r="A672" s="14"/>
      <c r="B672" s="14"/>
      <c r="C672" s="14"/>
      <c r="D672" s="14"/>
      <c r="E672" s="15"/>
    </row>
    <row r="673" spans="1:5" ht="14.25" customHeight="1" x14ac:dyDescent="0.3">
      <c r="A673" s="14"/>
      <c r="B673" s="14"/>
      <c r="C673" s="14"/>
      <c r="D673" s="14"/>
      <c r="E673" s="15"/>
    </row>
    <row r="674" spans="1:5" ht="14.25" customHeight="1" x14ac:dyDescent="0.3">
      <c r="A674" s="14"/>
      <c r="B674" s="14"/>
      <c r="C674" s="14"/>
      <c r="D674" s="14"/>
      <c r="E674" s="15"/>
    </row>
    <row r="675" spans="1:5" ht="14.25" customHeight="1" x14ac:dyDescent="0.3">
      <c r="A675" s="14"/>
      <c r="B675" s="14"/>
      <c r="C675" s="14"/>
      <c r="D675" s="14"/>
      <c r="E675" s="15"/>
    </row>
    <row r="676" spans="1:5" ht="14.25" customHeight="1" x14ac:dyDescent="0.3">
      <c r="A676" s="14"/>
      <c r="B676" s="14"/>
      <c r="C676" s="14"/>
      <c r="D676" s="14"/>
      <c r="E676" s="15"/>
    </row>
    <row r="677" spans="1:5" ht="14.25" customHeight="1" x14ac:dyDescent="0.3">
      <c r="A677" s="14"/>
      <c r="B677" s="14"/>
      <c r="C677" s="14"/>
      <c r="D677" s="14"/>
      <c r="E677" s="15"/>
    </row>
    <row r="678" spans="1:5" ht="14.25" customHeight="1" x14ac:dyDescent="0.3">
      <c r="A678" s="14"/>
      <c r="B678" s="14"/>
      <c r="C678" s="14"/>
      <c r="D678" s="14"/>
      <c r="E678" s="15"/>
    </row>
    <row r="679" spans="1:5" ht="14.25" customHeight="1" x14ac:dyDescent="0.3">
      <c r="A679" s="14"/>
      <c r="B679" s="14"/>
      <c r="C679" s="14"/>
      <c r="D679" s="14"/>
      <c r="E679" s="15"/>
    </row>
    <row r="680" spans="1:5" ht="14.25" customHeight="1" x14ac:dyDescent="0.3">
      <c r="A680" s="14"/>
      <c r="B680" s="14"/>
      <c r="C680" s="14"/>
      <c r="D680" s="14"/>
      <c r="E680" s="15"/>
    </row>
    <row r="681" spans="1:5" ht="14.25" customHeight="1" x14ac:dyDescent="0.3">
      <c r="A681" s="14"/>
      <c r="B681" s="14"/>
      <c r="C681" s="14"/>
      <c r="D681" s="14"/>
      <c r="E681" s="15"/>
    </row>
    <row r="682" spans="1:5" ht="14.25" customHeight="1" x14ac:dyDescent="0.3">
      <c r="A682" s="14"/>
      <c r="B682" s="14"/>
      <c r="C682" s="14"/>
      <c r="D682" s="14"/>
      <c r="E682" s="15"/>
    </row>
    <row r="683" spans="1:5" ht="14.25" customHeight="1" x14ac:dyDescent="0.3">
      <c r="A683" s="14"/>
      <c r="B683" s="14"/>
      <c r="C683" s="14"/>
      <c r="D683" s="14"/>
      <c r="E683" s="15"/>
    </row>
    <row r="684" spans="1:5" ht="14.25" customHeight="1" x14ac:dyDescent="0.3">
      <c r="A684" s="14"/>
      <c r="B684" s="14"/>
      <c r="C684" s="14"/>
      <c r="D684" s="14"/>
      <c r="E684" s="15"/>
    </row>
    <row r="685" spans="1:5" ht="14.25" customHeight="1" x14ac:dyDescent="0.3">
      <c r="A685" s="14"/>
      <c r="B685" s="14"/>
      <c r="C685" s="14"/>
      <c r="D685" s="14"/>
      <c r="E685" s="15"/>
    </row>
    <row r="686" spans="1:5" ht="14.25" customHeight="1" x14ac:dyDescent="0.3">
      <c r="A686" s="14"/>
      <c r="B686" s="14"/>
      <c r="C686" s="14"/>
      <c r="D686" s="14"/>
      <c r="E686" s="15"/>
    </row>
    <row r="687" spans="1:5" ht="14.25" customHeight="1" x14ac:dyDescent="0.3">
      <c r="A687" s="14"/>
      <c r="B687" s="14"/>
      <c r="C687" s="14"/>
      <c r="D687" s="14"/>
      <c r="E687" s="15"/>
    </row>
    <row r="688" spans="1:5" ht="14.25" customHeight="1" x14ac:dyDescent="0.3">
      <c r="A688" s="14"/>
      <c r="B688" s="14"/>
      <c r="C688" s="14"/>
      <c r="D688" s="14"/>
      <c r="E688" s="15"/>
    </row>
    <row r="689" spans="1:5" ht="14.25" customHeight="1" x14ac:dyDescent="0.3">
      <c r="A689" s="14"/>
      <c r="B689" s="14"/>
      <c r="C689" s="14"/>
      <c r="D689" s="14"/>
      <c r="E689" s="15"/>
    </row>
    <row r="690" spans="1:5" ht="14.25" customHeight="1" x14ac:dyDescent="0.3">
      <c r="A690" s="14"/>
      <c r="B690" s="14"/>
      <c r="C690" s="14"/>
      <c r="D690" s="14"/>
      <c r="E690" s="15"/>
    </row>
    <row r="691" spans="1:5" ht="14.25" customHeight="1" x14ac:dyDescent="0.3">
      <c r="A691" s="14"/>
      <c r="B691" s="14"/>
      <c r="C691" s="14"/>
      <c r="D691" s="14"/>
      <c r="E691" s="15"/>
    </row>
    <row r="692" spans="1:5" ht="14.25" customHeight="1" x14ac:dyDescent="0.3">
      <c r="A692" s="14"/>
      <c r="B692" s="14"/>
      <c r="C692" s="14"/>
      <c r="D692" s="14"/>
      <c r="E692" s="15"/>
    </row>
    <row r="693" spans="1:5" ht="14.25" customHeight="1" x14ac:dyDescent="0.3">
      <c r="A693" s="14"/>
      <c r="B693" s="14"/>
      <c r="C693" s="14"/>
      <c r="D693" s="14"/>
      <c r="E693" s="15"/>
    </row>
    <row r="694" spans="1:5" ht="14.25" customHeight="1" x14ac:dyDescent="0.3">
      <c r="A694" s="14"/>
      <c r="B694" s="14"/>
      <c r="C694" s="14"/>
      <c r="D694" s="14"/>
      <c r="E694" s="15"/>
    </row>
    <row r="695" spans="1:5" ht="14.25" customHeight="1" x14ac:dyDescent="0.3">
      <c r="A695" s="14"/>
      <c r="B695" s="14"/>
      <c r="C695" s="14"/>
      <c r="D695" s="14"/>
      <c r="E695" s="15"/>
    </row>
    <row r="696" spans="1:5" ht="14.25" customHeight="1" x14ac:dyDescent="0.3">
      <c r="A696" s="14"/>
      <c r="B696" s="14"/>
      <c r="C696" s="14"/>
      <c r="D696" s="14"/>
      <c r="E696" s="15"/>
    </row>
    <row r="697" spans="1:5" ht="14.25" customHeight="1" x14ac:dyDescent="0.3">
      <c r="A697" s="14"/>
      <c r="B697" s="14"/>
      <c r="C697" s="14"/>
      <c r="D697" s="14"/>
      <c r="E697" s="15"/>
    </row>
    <row r="698" spans="1:5" ht="14.25" customHeight="1" x14ac:dyDescent="0.3">
      <c r="A698" s="14"/>
      <c r="B698" s="14"/>
      <c r="C698" s="14"/>
      <c r="D698" s="14"/>
      <c r="E698" s="15"/>
    </row>
    <row r="699" spans="1:5" ht="14.25" customHeight="1" x14ac:dyDescent="0.3">
      <c r="A699" s="14"/>
      <c r="B699" s="14"/>
      <c r="C699" s="14"/>
      <c r="D699" s="14"/>
      <c r="E699" s="15"/>
    </row>
    <row r="700" spans="1:5" ht="14.25" customHeight="1" x14ac:dyDescent="0.3">
      <c r="A700" s="14"/>
      <c r="B700" s="14"/>
      <c r="C700" s="14"/>
      <c r="D700" s="14"/>
      <c r="E700" s="15"/>
    </row>
    <row r="701" spans="1:5" ht="14.25" customHeight="1" x14ac:dyDescent="0.3">
      <c r="A701" s="14"/>
      <c r="B701" s="14"/>
      <c r="C701" s="14"/>
      <c r="D701" s="14"/>
      <c r="E701" s="15"/>
    </row>
    <row r="702" spans="1:5" ht="14.25" customHeight="1" x14ac:dyDescent="0.3">
      <c r="A702" s="14"/>
      <c r="B702" s="14"/>
      <c r="C702" s="14"/>
      <c r="D702" s="14"/>
      <c r="E702" s="15"/>
    </row>
    <row r="703" spans="1:5" ht="14.25" customHeight="1" x14ac:dyDescent="0.3">
      <c r="A703" s="14"/>
      <c r="B703" s="14"/>
      <c r="C703" s="14"/>
      <c r="D703" s="14"/>
      <c r="E703" s="15"/>
    </row>
    <row r="704" spans="1:5" ht="14.25" customHeight="1" x14ac:dyDescent="0.3">
      <c r="A704" s="14"/>
      <c r="B704" s="14"/>
      <c r="C704" s="14"/>
      <c r="D704" s="14"/>
      <c r="E704" s="15"/>
    </row>
    <row r="705" spans="1:5" ht="14.25" customHeight="1" x14ac:dyDescent="0.3">
      <c r="A705" s="14"/>
      <c r="B705" s="14"/>
      <c r="C705" s="14"/>
      <c r="D705" s="14"/>
      <c r="E705" s="15"/>
    </row>
    <row r="706" spans="1:5" ht="14.25" customHeight="1" x14ac:dyDescent="0.3">
      <c r="A706" s="14"/>
      <c r="B706" s="14"/>
      <c r="C706" s="14"/>
      <c r="D706" s="14"/>
      <c r="E706" s="15"/>
    </row>
    <row r="707" spans="1:5" ht="14.25" customHeight="1" x14ac:dyDescent="0.3">
      <c r="A707" s="14"/>
      <c r="B707" s="14"/>
      <c r="C707" s="14"/>
      <c r="D707" s="14"/>
      <c r="E707" s="15"/>
    </row>
    <row r="708" spans="1:5" ht="14.25" customHeight="1" x14ac:dyDescent="0.3">
      <c r="A708" s="14"/>
      <c r="B708" s="14"/>
      <c r="C708" s="14"/>
      <c r="D708" s="14"/>
      <c r="E708" s="15"/>
    </row>
    <row r="709" spans="1:5" ht="14.25" customHeight="1" x14ac:dyDescent="0.3">
      <c r="A709" s="14"/>
      <c r="B709" s="14"/>
      <c r="C709" s="14"/>
      <c r="D709" s="14"/>
      <c r="E709" s="15"/>
    </row>
    <row r="710" spans="1:5" ht="14.25" customHeight="1" x14ac:dyDescent="0.3">
      <c r="A710" s="14"/>
      <c r="B710" s="14"/>
      <c r="C710" s="14"/>
      <c r="D710" s="14"/>
      <c r="E710" s="15"/>
    </row>
    <row r="711" spans="1:5" ht="14.25" customHeight="1" x14ac:dyDescent="0.3">
      <c r="A711" s="14"/>
      <c r="B711" s="14"/>
      <c r="C711" s="14"/>
      <c r="D711" s="14"/>
      <c r="E711" s="15"/>
    </row>
    <row r="712" spans="1:5" ht="14.25" customHeight="1" x14ac:dyDescent="0.3">
      <c r="A712" s="14"/>
      <c r="B712" s="14"/>
      <c r="C712" s="14"/>
      <c r="D712" s="14"/>
      <c r="E712" s="15"/>
    </row>
    <row r="713" spans="1:5" ht="14.25" customHeight="1" x14ac:dyDescent="0.3">
      <c r="A713" s="14"/>
      <c r="B713" s="14"/>
      <c r="C713" s="14"/>
      <c r="D713" s="14"/>
      <c r="E713" s="15"/>
    </row>
    <row r="714" spans="1:5" ht="14.25" customHeight="1" x14ac:dyDescent="0.3">
      <c r="A714" s="14"/>
      <c r="B714" s="14"/>
      <c r="C714" s="14"/>
      <c r="D714" s="14"/>
      <c r="E714" s="15"/>
    </row>
    <row r="715" spans="1:5" ht="14.25" customHeight="1" x14ac:dyDescent="0.3">
      <c r="A715" s="14"/>
      <c r="B715" s="14"/>
      <c r="C715" s="14"/>
      <c r="D715" s="14"/>
      <c r="E715" s="15"/>
    </row>
    <row r="716" spans="1:5" ht="14.25" customHeight="1" x14ac:dyDescent="0.3">
      <c r="A716" s="14"/>
      <c r="B716" s="14"/>
      <c r="C716" s="14"/>
      <c r="D716" s="14"/>
      <c r="E716" s="15"/>
    </row>
    <row r="717" spans="1:5" ht="14.25" customHeight="1" x14ac:dyDescent="0.3">
      <c r="A717" s="14"/>
      <c r="B717" s="14"/>
      <c r="C717" s="14"/>
      <c r="D717" s="14"/>
      <c r="E717" s="15"/>
    </row>
    <row r="718" spans="1:5" ht="14.25" customHeight="1" x14ac:dyDescent="0.3">
      <c r="A718" s="14"/>
      <c r="B718" s="14"/>
      <c r="C718" s="14"/>
      <c r="D718" s="14"/>
      <c r="E718" s="15"/>
    </row>
    <row r="719" spans="1:5" ht="14.25" customHeight="1" x14ac:dyDescent="0.3">
      <c r="A719" s="14"/>
      <c r="B719" s="14"/>
      <c r="C719" s="14"/>
      <c r="D719" s="14"/>
      <c r="E719" s="15"/>
    </row>
    <row r="720" spans="1:5" ht="14.25" customHeight="1" x14ac:dyDescent="0.3">
      <c r="A720" s="14"/>
      <c r="B720" s="14"/>
      <c r="C720" s="14"/>
      <c r="D720" s="14"/>
      <c r="E720" s="15"/>
    </row>
    <row r="721" spans="1:5" ht="14.25" customHeight="1" x14ac:dyDescent="0.3">
      <c r="A721" s="14"/>
      <c r="B721" s="14"/>
      <c r="C721" s="14"/>
      <c r="D721" s="14"/>
      <c r="E721" s="15"/>
    </row>
    <row r="722" spans="1:5" ht="14.25" customHeight="1" x14ac:dyDescent="0.3">
      <c r="A722" s="14"/>
      <c r="B722" s="14"/>
      <c r="C722" s="14"/>
      <c r="D722" s="14"/>
      <c r="E722" s="15"/>
    </row>
    <row r="723" spans="1:5" ht="14.25" customHeight="1" x14ac:dyDescent="0.3">
      <c r="A723" s="14"/>
      <c r="B723" s="14"/>
      <c r="C723" s="14"/>
      <c r="D723" s="14"/>
      <c r="E723" s="15"/>
    </row>
    <row r="724" spans="1:5" ht="14.25" customHeight="1" x14ac:dyDescent="0.3">
      <c r="A724" s="14"/>
      <c r="B724" s="14"/>
      <c r="C724" s="14"/>
      <c r="D724" s="14"/>
      <c r="E724" s="15"/>
    </row>
    <row r="725" spans="1:5" ht="14.25" customHeight="1" x14ac:dyDescent="0.3">
      <c r="A725" s="14"/>
      <c r="B725" s="14"/>
      <c r="C725" s="14"/>
      <c r="D725" s="14"/>
      <c r="E725" s="15"/>
    </row>
    <row r="726" spans="1:5" ht="14.25" customHeight="1" x14ac:dyDescent="0.3">
      <c r="A726" s="14"/>
      <c r="B726" s="14"/>
      <c r="C726" s="14"/>
      <c r="D726" s="14"/>
      <c r="E726" s="15"/>
    </row>
    <row r="727" spans="1:5" ht="14.25" customHeight="1" x14ac:dyDescent="0.3">
      <c r="A727" s="14"/>
      <c r="B727" s="14"/>
      <c r="C727" s="14"/>
      <c r="D727" s="14"/>
      <c r="E727" s="15"/>
    </row>
    <row r="728" spans="1:5" ht="14.25" customHeight="1" x14ac:dyDescent="0.3">
      <c r="A728" s="14"/>
      <c r="B728" s="14"/>
      <c r="C728" s="14"/>
      <c r="D728" s="14"/>
      <c r="E728" s="15"/>
    </row>
    <row r="729" spans="1:5" ht="14.25" customHeight="1" x14ac:dyDescent="0.3">
      <c r="A729" s="14"/>
      <c r="B729" s="14"/>
      <c r="C729" s="14"/>
      <c r="D729" s="14"/>
      <c r="E729" s="15"/>
    </row>
    <row r="730" spans="1:5" ht="14.25" customHeight="1" x14ac:dyDescent="0.3">
      <c r="A730" s="14"/>
      <c r="B730" s="14"/>
      <c r="C730" s="14"/>
      <c r="D730" s="14"/>
      <c r="E730" s="15"/>
    </row>
    <row r="731" spans="1:5" ht="14.25" customHeight="1" x14ac:dyDescent="0.3">
      <c r="A731" s="14"/>
      <c r="B731" s="14"/>
      <c r="C731" s="14"/>
      <c r="D731" s="14"/>
      <c r="E731" s="15"/>
    </row>
    <row r="732" spans="1:5" ht="14.25" customHeight="1" x14ac:dyDescent="0.3">
      <c r="A732" s="14"/>
      <c r="B732" s="14"/>
      <c r="C732" s="14"/>
      <c r="D732" s="14"/>
      <c r="E732" s="15"/>
    </row>
    <row r="733" spans="1:5" ht="14.25" customHeight="1" x14ac:dyDescent="0.3">
      <c r="A733" s="14"/>
      <c r="B733" s="14"/>
      <c r="C733" s="14"/>
      <c r="D733" s="14"/>
      <c r="E733" s="15"/>
    </row>
    <row r="734" spans="1:5" ht="14.25" customHeight="1" x14ac:dyDescent="0.3">
      <c r="A734" s="14"/>
      <c r="B734" s="14"/>
      <c r="C734" s="14"/>
      <c r="D734" s="14"/>
      <c r="E734" s="15"/>
    </row>
    <row r="735" spans="1:5" ht="14.25" customHeight="1" x14ac:dyDescent="0.3">
      <c r="A735" s="14"/>
      <c r="B735" s="14"/>
      <c r="C735" s="14"/>
      <c r="D735" s="14"/>
      <c r="E735" s="15"/>
    </row>
    <row r="736" spans="1:5" ht="14.25" customHeight="1" x14ac:dyDescent="0.3">
      <c r="A736" s="14"/>
      <c r="B736" s="14"/>
      <c r="C736" s="14"/>
      <c r="D736" s="14"/>
      <c r="E736" s="15"/>
    </row>
    <row r="737" spans="1:5" ht="14.25" customHeight="1" x14ac:dyDescent="0.3">
      <c r="A737" s="14"/>
      <c r="B737" s="14"/>
      <c r="C737" s="14"/>
      <c r="D737" s="14"/>
      <c r="E737" s="15"/>
    </row>
    <row r="738" spans="1:5" ht="14.25" customHeight="1" x14ac:dyDescent="0.3">
      <c r="A738" s="14"/>
      <c r="B738" s="14"/>
      <c r="C738" s="14"/>
      <c r="D738" s="14"/>
      <c r="E738" s="15"/>
    </row>
    <row r="739" spans="1:5" ht="14.25" customHeight="1" x14ac:dyDescent="0.3">
      <c r="A739" s="14"/>
      <c r="B739" s="14"/>
      <c r="C739" s="14"/>
      <c r="D739" s="14"/>
      <c r="E739" s="15"/>
    </row>
    <row r="740" spans="1:5" ht="14.25" customHeight="1" x14ac:dyDescent="0.3">
      <c r="A740" s="14"/>
      <c r="B740" s="14"/>
      <c r="C740" s="14"/>
      <c r="D740" s="14"/>
      <c r="E740" s="15"/>
    </row>
    <row r="741" spans="1:5" ht="14.25" customHeight="1" x14ac:dyDescent="0.3">
      <c r="A741" s="14"/>
      <c r="B741" s="14"/>
      <c r="C741" s="14"/>
      <c r="D741" s="14"/>
      <c r="E741" s="15"/>
    </row>
    <row r="742" spans="1:5" ht="14.25" customHeight="1" x14ac:dyDescent="0.3">
      <c r="A742" s="14"/>
      <c r="B742" s="14"/>
      <c r="C742" s="14"/>
      <c r="D742" s="14"/>
      <c r="E742" s="15"/>
    </row>
    <row r="743" spans="1:5" ht="14.25" customHeight="1" x14ac:dyDescent="0.3">
      <c r="A743" s="14"/>
      <c r="B743" s="14"/>
      <c r="C743" s="14"/>
      <c r="D743" s="14"/>
      <c r="E743" s="15"/>
    </row>
    <row r="744" spans="1:5" ht="14.25" customHeight="1" x14ac:dyDescent="0.3">
      <c r="A744" s="14"/>
      <c r="B744" s="14"/>
      <c r="C744" s="14"/>
      <c r="D744" s="14"/>
      <c r="E744" s="15"/>
    </row>
    <row r="745" spans="1:5" ht="14.25" customHeight="1" x14ac:dyDescent="0.3">
      <c r="A745" s="14"/>
      <c r="B745" s="14"/>
      <c r="C745" s="14"/>
      <c r="D745" s="14"/>
      <c r="E745" s="15"/>
    </row>
    <row r="746" spans="1:5" ht="14.25" customHeight="1" x14ac:dyDescent="0.3">
      <c r="A746" s="14"/>
      <c r="B746" s="14"/>
      <c r="C746" s="14"/>
      <c r="D746" s="14"/>
      <c r="E746" s="15"/>
    </row>
    <row r="747" spans="1:5" ht="14.25" customHeight="1" x14ac:dyDescent="0.3">
      <c r="A747" s="14"/>
      <c r="B747" s="14"/>
      <c r="C747" s="14"/>
      <c r="D747" s="14"/>
      <c r="E747" s="15"/>
    </row>
    <row r="748" spans="1:5" ht="14.25" customHeight="1" x14ac:dyDescent="0.3">
      <c r="A748" s="14"/>
      <c r="B748" s="14"/>
      <c r="C748" s="14"/>
      <c r="D748" s="14"/>
      <c r="E748" s="15"/>
    </row>
    <row r="749" spans="1:5" ht="14.25" customHeight="1" x14ac:dyDescent="0.3">
      <c r="A749" s="14"/>
      <c r="B749" s="14"/>
      <c r="C749" s="14"/>
      <c r="D749" s="14"/>
      <c r="E749" s="15"/>
    </row>
    <row r="750" spans="1:5" ht="14.25" customHeight="1" x14ac:dyDescent="0.3">
      <c r="A750" s="14"/>
      <c r="B750" s="14"/>
      <c r="C750" s="14"/>
      <c r="D750" s="14"/>
      <c r="E750" s="15"/>
    </row>
    <row r="751" spans="1:5" ht="14.25" customHeight="1" x14ac:dyDescent="0.3">
      <c r="A751" s="14"/>
      <c r="B751" s="14"/>
      <c r="C751" s="14"/>
      <c r="D751" s="14"/>
      <c r="E751" s="15"/>
    </row>
    <row r="752" spans="1:5" ht="14.25" customHeight="1" x14ac:dyDescent="0.3">
      <c r="A752" s="14"/>
      <c r="B752" s="14"/>
      <c r="C752" s="14"/>
      <c r="D752" s="14"/>
      <c r="E752" s="15"/>
    </row>
    <row r="753" spans="1:5" ht="14.25" customHeight="1" x14ac:dyDescent="0.3">
      <c r="A753" s="14"/>
      <c r="B753" s="14"/>
      <c r="C753" s="14"/>
      <c r="D753" s="14"/>
      <c r="E753" s="15"/>
    </row>
    <row r="754" spans="1:5" ht="14.25" customHeight="1" x14ac:dyDescent="0.3">
      <c r="A754" s="14"/>
      <c r="B754" s="14"/>
      <c r="C754" s="14"/>
      <c r="D754" s="14"/>
      <c r="E754" s="15"/>
    </row>
    <row r="755" spans="1:5" ht="14.25" customHeight="1" x14ac:dyDescent="0.3">
      <c r="A755" s="14"/>
      <c r="B755" s="14"/>
      <c r="C755" s="14"/>
      <c r="D755" s="14"/>
      <c r="E755" s="15"/>
    </row>
    <row r="756" spans="1:5" ht="14.25" customHeight="1" x14ac:dyDescent="0.3">
      <c r="A756" s="14"/>
      <c r="B756" s="14"/>
      <c r="C756" s="14"/>
      <c r="D756" s="14"/>
      <c r="E756" s="15"/>
    </row>
    <row r="757" spans="1:5" ht="14.25" customHeight="1" x14ac:dyDescent="0.3">
      <c r="A757" s="14"/>
      <c r="B757" s="14"/>
      <c r="C757" s="14"/>
      <c r="D757" s="14"/>
      <c r="E757" s="15"/>
    </row>
    <row r="758" spans="1:5" ht="14.25" customHeight="1" x14ac:dyDescent="0.3">
      <c r="A758" s="14"/>
      <c r="B758" s="14"/>
      <c r="C758" s="14"/>
      <c r="D758" s="14"/>
      <c r="E758" s="15"/>
    </row>
    <row r="759" spans="1:5" ht="14.25" customHeight="1" x14ac:dyDescent="0.3">
      <c r="A759" s="14"/>
      <c r="B759" s="14"/>
      <c r="C759" s="14"/>
      <c r="D759" s="14"/>
      <c r="E759" s="15"/>
    </row>
    <row r="760" spans="1:5" ht="14.25" customHeight="1" x14ac:dyDescent="0.3">
      <c r="A760" s="14"/>
      <c r="B760" s="14"/>
      <c r="C760" s="14"/>
      <c r="D760" s="14"/>
      <c r="E760" s="15"/>
    </row>
    <row r="761" spans="1:5" ht="14.25" customHeight="1" x14ac:dyDescent="0.3">
      <c r="A761" s="14"/>
      <c r="B761" s="14"/>
      <c r="C761" s="14"/>
      <c r="D761" s="14"/>
      <c r="E761" s="15"/>
    </row>
    <row r="762" spans="1:5" ht="14.25" customHeight="1" x14ac:dyDescent="0.3">
      <c r="A762" s="14"/>
      <c r="B762" s="14"/>
      <c r="C762" s="14"/>
      <c r="D762" s="14"/>
      <c r="E762" s="15"/>
    </row>
    <row r="763" spans="1:5" ht="14.25" customHeight="1" x14ac:dyDescent="0.3">
      <c r="A763" s="14"/>
      <c r="B763" s="14"/>
      <c r="C763" s="14"/>
      <c r="D763" s="14"/>
      <c r="E763" s="15"/>
    </row>
    <row r="764" spans="1:5" ht="14.25" customHeight="1" x14ac:dyDescent="0.3">
      <c r="A764" s="14"/>
      <c r="B764" s="14"/>
      <c r="C764" s="14"/>
      <c r="D764" s="14"/>
      <c r="E764" s="15"/>
    </row>
    <row r="765" spans="1:5" ht="14.25" customHeight="1" x14ac:dyDescent="0.3">
      <c r="A765" s="14"/>
      <c r="B765" s="14"/>
      <c r="C765" s="14"/>
      <c r="D765" s="14"/>
      <c r="E765" s="15"/>
    </row>
    <row r="766" spans="1:5" ht="14.25" customHeight="1" x14ac:dyDescent="0.3">
      <c r="A766" s="14"/>
      <c r="B766" s="14"/>
      <c r="C766" s="14"/>
      <c r="D766" s="14"/>
      <c r="E766" s="15"/>
    </row>
    <row r="767" spans="1:5" ht="14.25" customHeight="1" x14ac:dyDescent="0.3">
      <c r="A767" s="14"/>
      <c r="B767" s="14"/>
      <c r="C767" s="14"/>
      <c r="D767" s="14"/>
      <c r="E767" s="15"/>
    </row>
    <row r="768" spans="1:5" ht="14.25" customHeight="1" x14ac:dyDescent="0.3">
      <c r="A768" s="14"/>
      <c r="B768" s="14"/>
      <c r="C768" s="14"/>
      <c r="D768" s="14"/>
      <c r="E768" s="15"/>
    </row>
    <row r="769" spans="1:5" ht="14.25" customHeight="1" x14ac:dyDescent="0.3">
      <c r="A769" s="14"/>
      <c r="B769" s="14"/>
      <c r="C769" s="14"/>
      <c r="D769" s="14"/>
      <c r="E769" s="15"/>
    </row>
    <row r="770" spans="1:5" ht="14.25" customHeight="1" x14ac:dyDescent="0.3">
      <c r="A770" s="14"/>
      <c r="B770" s="14"/>
      <c r="C770" s="14"/>
      <c r="D770" s="14"/>
      <c r="E770" s="15"/>
    </row>
    <row r="771" spans="1:5" ht="14.25" customHeight="1" x14ac:dyDescent="0.3">
      <c r="A771" s="14"/>
      <c r="B771" s="14"/>
      <c r="C771" s="14"/>
      <c r="D771" s="14"/>
      <c r="E771" s="15"/>
    </row>
    <row r="772" spans="1:5" ht="14.25" customHeight="1" x14ac:dyDescent="0.3">
      <c r="A772" s="14"/>
      <c r="B772" s="14"/>
      <c r="C772" s="14"/>
      <c r="D772" s="14"/>
      <c r="E772" s="15"/>
    </row>
    <row r="773" spans="1:5" ht="14.25" customHeight="1" x14ac:dyDescent="0.3">
      <c r="A773" s="14"/>
      <c r="B773" s="14"/>
      <c r="C773" s="14"/>
      <c r="D773" s="14"/>
      <c r="E773" s="15"/>
    </row>
    <row r="774" spans="1:5" ht="14.25" customHeight="1" x14ac:dyDescent="0.3">
      <c r="A774" s="14"/>
      <c r="B774" s="14"/>
      <c r="C774" s="14"/>
      <c r="D774" s="14"/>
      <c r="E774" s="15"/>
    </row>
    <row r="775" spans="1:5" ht="14.25" customHeight="1" x14ac:dyDescent="0.3">
      <c r="A775" s="14"/>
      <c r="B775" s="14"/>
      <c r="C775" s="14"/>
      <c r="D775" s="14"/>
      <c r="E775" s="15"/>
    </row>
    <row r="776" spans="1:5" ht="14.25" customHeight="1" x14ac:dyDescent="0.3">
      <c r="A776" s="14"/>
      <c r="B776" s="14"/>
      <c r="C776" s="14"/>
      <c r="D776" s="14"/>
      <c r="E776" s="15"/>
    </row>
    <row r="777" spans="1:5" ht="14.25" customHeight="1" x14ac:dyDescent="0.3">
      <c r="A777" s="14"/>
      <c r="B777" s="14"/>
      <c r="C777" s="14"/>
      <c r="D777" s="14"/>
      <c r="E777" s="15"/>
    </row>
    <row r="778" spans="1:5" ht="14.25" customHeight="1" x14ac:dyDescent="0.3">
      <c r="A778" s="14"/>
      <c r="B778" s="14"/>
      <c r="C778" s="14"/>
      <c r="D778" s="14"/>
      <c r="E778" s="15"/>
    </row>
    <row r="779" spans="1:5" ht="14.25" customHeight="1" x14ac:dyDescent="0.3">
      <c r="A779" s="14"/>
      <c r="B779" s="14"/>
      <c r="C779" s="14"/>
      <c r="D779" s="14"/>
      <c r="E779" s="15"/>
    </row>
    <row r="780" spans="1:5" ht="14.25" customHeight="1" x14ac:dyDescent="0.3">
      <c r="A780" s="14"/>
      <c r="B780" s="14"/>
      <c r="C780" s="14"/>
      <c r="D780" s="14"/>
      <c r="E780" s="15"/>
    </row>
    <row r="781" spans="1:5" ht="14.25" customHeight="1" x14ac:dyDescent="0.3">
      <c r="A781" s="14"/>
      <c r="B781" s="14"/>
      <c r="C781" s="14"/>
      <c r="D781" s="14"/>
      <c r="E781" s="15"/>
    </row>
    <row r="782" spans="1:5" ht="14.25" customHeight="1" x14ac:dyDescent="0.3">
      <c r="A782" s="14"/>
      <c r="B782" s="14"/>
      <c r="C782" s="14"/>
      <c r="D782" s="14"/>
      <c r="E782" s="15"/>
    </row>
    <row r="783" spans="1:5" ht="14.25" customHeight="1" x14ac:dyDescent="0.3">
      <c r="A783" s="14"/>
      <c r="B783" s="14"/>
      <c r="C783" s="14"/>
      <c r="D783" s="14"/>
      <c r="E783" s="15"/>
    </row>
    <row r="784" spans="1:5" ht="14.25" customHeight="1" x14ac:dyDescent="0.3">
      <c r="A784" s="14"/>
      <c r="B784" s="14"/>
      <c r="C784" s="14"/>
      <c r="D784" s="14"/>
      <c r="E784" s="15"/>
    </row>
    <row r="785" spans="1:5" ht="14.25" customHeight="1" x14ac:dyDescent="0.3">
      <c r="A785" s="14"/>
      <c r="B785" s="14"/>
      <c r="C785" s="14"/>
      <c r="D785" s="14"/>
      <c r="E785" s="15"/>
    </row>
    <row r="786" spans="1:5" ht="14.25" customHeight="1" x14ac:dyDescent="0.3">
      <c r="A786" s="14"/>
      <c r="B786" s="14"/>
      <c r="C786" s="14"/>
      <c r="D786" s="14"/>
      <c r="E786" s="15"/>
    </row>
    <row r="787" spans="1:5" ht="14.25" customHeight="1" x14ac:dyDescent="0.3">
      <c r="A787" s="14"/>
      <c r="B787" s="14"/>
      <c r="C787" s="14"/>
      <c r="D787" s="14"/>
      <c r="E787" s="15"/>
    </row>
    <row r="788" spans="1:5" ht="14.25" customHeight="1" x14ac:dyDescent="0.3">
      <c r="A788" s="14"/>
      <c r="B788" s="14"/>
      <c r="C788" s="14"/>
      <c r="D788" s="14"/>
      <c r="E788" s="15"/>
    </row>
    <row r="789" spans="1:5" ht="14.25" customHeight="1" x14ac:dyDescent="0.3">
      <c r="A789" s="14"/>
      <c r="B789" s="14"/>
      <c r="C789" s="14"/>
      <c r="D789" s="14"/>
      <c r="E789" s="15"/>
    </row>
    <row r="790" spans="1:5" ht="14.25" customHeight="1" x14ac:dyDescent="0.3">
      <c r="A790" s="14"/>
      <c r="B790" s="14"/>
      <c r="C790" s="14"/>
      <c r="D790" s="14"/>
      <c r="E790" s="15"/>
    </row>
    <row r="791" spans="1:5" ht="14.25" customHeight="1" x14ac:dyDescent="0.3">
      <c r="A791" s="14"/>
      <c r="B791" s="14"/>
      <c r="C791" s="14"/>
      <c r="D791" s="14"/>
      <c r="E791" s="15"/>
    </row>
    <row r="792" spans="1:5" ht="14.25" customHeight="1" x14ac:dyDescent="0.3">
      <c r="A792" s="14"/>
      <c r="B792" s="14"/>
      <c r="C792" s="14"/>
      <c r="D792" s="14"/>
      <c r="E792" s="15"/>
    </row>
    <row r="793" spans="1:5" ht="14.25" customHeight="1" x14ac:dyDescent="0.3">
      <c r="A793" s="14"/>
      <c r="B793" s="14"/>
      <c r="C793" s="14"/>
      <c r="D793" s="14"/>
      <c r="E793" s="15"/>
    </row>
    <row r="794" spans="1:5" ht="14.25" customHeight="1" x14ac:dyDescent="0.3">
      <c r="A794" s="14"/>
      <c r="B794" s="14"/>
      <c r="C794" s="14"/>
      <c r="D794" s="14"/>
      <c r="E794" s="15"/>
    </row>
    <row r="795" spans="1:5" ht="14.25" customHeight="1" x14ac:dyDescent="0.3">
      <c r="A795" s="14"/>
      <c r="B795" s="14"/>
      <c r="C795" s="14"/>
      <c r="D795" s="14"/>
      <c r="E795" s="15"/>
    </row>
    <row r="796" spans="1:5" ht="14.25" customHeight="1" x14ac:dyDescent="0.3">
      <c r="A796" s="14"/>
      <c r="B796" s="14"/>
      <c r="C796" s="14"/>
      <c r="D796" s="14"/>
      <c r="E796" s="15"/>
    </row>
    <row r="797" spans="1:5" ht="14.25" customHeight="1" x14ac:dyDescent="0.3">
      <c r="A797" s="14"/>
      <c r="B797" s="14"/>
      <c r="C797" s="14"/>
      <c r="D797" s="14"/>
      <c r="E797" s="15"/>
    </row>
    <row r="798" spans="1:5" ht="14.25" customHeight="1" x14ac:dyDescent="0.3">
      <c r="A798" s="14"/>
      <c r="B798" s="14"/>
      <c r="C798" s="14"/>
      <c r="D798" s="14"/>
      <c r="E798" s="15"/>
    </row>
    <row r="799" spans="1:5" ht="14.25" customHeight="1" x14ac:dyDescent="0.3">
      <c r="A799" s="14"/>
      <c r="B799" s="14"/>
      <c r="C799" s="14"/>
      <c r="D799" s="14"/>
      <c r="E799" s="15"/>
    </row>
    <row r="800" spans="1:5" ht="14.25" customHeight="1" x14ac:dyDescent="0.3">
      <c r="A800" s="14"/>
      <c r="B800" s="14"/>
      <c r="C800" s="14"/>
      <c r="D800" s="14"/>
      <c r="E800" s="15"/>
    </row>
    <row r="801" spans="1:5" ht="14.25" customHeight="1" x14ac:dyDescent="0.3">
      <c r="A801" s="14"/>
      <c r="B801" s="14"/>
      <c r="C801" s="14"/>
      <c r="D801" s="14"/>
      <c r="E801" s="15"/>
    </row>
    <row r="802" spans="1:5" ht="14.25" customHeight="1" x14ac:dyDescent="0.3">
      <c r="A802" s="14"/>
      <c r="B802" s="14"/>
      <c r="C802" s="14"/>
      <c r="D802" s="14"/>
      <c r="E802" s="15"/>
    </row>
    <row r="803" spans="1:5" ht="14.25" customHeight="1" x14ac:dyDescent="0.3">
      <c r="A803" s="14"/>
      <c r="B803" s="14"/>
      <c r="C803" s="14"/>
      <c r="D803" s="14"/>
      <c r="E803" s="15"/>
    </row>
    <row r="804" spans="1:5" ht="14.25" customHeight="1" x14ac:dyDescent="0.3">
      <c r="A804" s="14"/>
      <c r="B804" s="14"/>
      <c r="C804" s="14"/>
      <c r="D804" s="14"/>
      <c r="E804" s="15"/>
    </row>
    <row r="805" spans="1:5" ht="14.25" customHeight="1" x14ac:dyDescent="0.3">
      <c r="A805" s="14"/>
      <c r="B805" s="14"/>
      <c r="C805" s="14"/>
      <c r="D805" s="14"/>
      <c r="E805" s="15"/>
    </row>
    <row r="806" spans="1:5" ht="14.25" customHeight="1" x14ac:dyDescent="0.3">
      <c r="A806" s="14"/>
      <c r="B806" s="14"/>
      <c r="C806" s="14"/>
      <c r="D806" s="14"/>
      <c r="E806" s="15"/>
    </row>
    <row r="807" spans="1:5" ht="14.25" customHeight="1" x14ac:dyDescent="0.3">
      <c r="A807" s="14"/>
      <c r="B807" s="14"/>
      <c r="C807" s="14"/>
      <c r="D807" s="14"/>
      <c r="E807" s="15"/>
    </row>
    <row r="808" spans="1:5" ht="14.25" customHeight="1" x14ac:dyDescent="0.3">
      <c r="A808" s="14"/>
      <c r="B808" s="14"/>
      <c r="C808" s="14"/>
      <c r="D808" s="14"/>
      <c r="E808" s="15"/>
    </row>
    <row r="809" spans="1:5" ht="14.25" customHeight="1" x14ac:dyDescent="0.3">
      <c r="A809" s="14"/>
      <c r="B809" s="14"/>
      <c r="C809" s="14"/>
      <c r="D809" s="14"/>
      <c r="E809" s="15"/>
    </row>
    <row r="810" spans="1:5" ht="14.25" customHeight="1" x14ac:dyDescent="0.3">
      <c r="A810" s="14"/>
      <c r="B810" s="14"/>
      <c r="C810" s="14"/>
      <c r="D810" s="14"/>
      <c r="E810" s="15"/>
    </row>
    <row r="811" spans="1:5" ht="14.25" customHeight="1" x14ac:dyDescent="0.3">
      <c r="A811" s="14"/>
      <c r="B811" s="14"/>
      <c r="C811" s="14"/>
      <c r="D811" s="14"/>
      <c r="E811" s="15"/>
    </row>
    <row r="812" spans="1:5" ht="14.25" customHeight="1" x14ac:dyDescent="0.3">
      <c r="A812" s="14"/>
      <c r="B812" s="14"/>
      <c r="C812" s="14"/>
      <c r="D812" s="14"/>
      <c r="E812" s="15"/>
    </row>
    <row r="813" spans="1:5" ht="14.25" customHeight="1" x14ac:dyDescent="0.3">
      <c r="A813" s="14"/>
      <c r="B813" s="14"/>
      <c r="C813" s="14"/>
      <c r="D813" s="14"/>
      <c r="E813" s="15"/>
    </row>
    <row r="814" spans="1:5" ht="14.25" customHeight="1" x14ac:dyDescent="0.3">
      <c r="A814" s="14"/>
      <c r="B814" s="14"/>
      <c r="C814" s="14"/>
      <c r="D814" s="14"/>
      <c r="E814" s="15"/>
    </row>
    <row r="815" spans="1:5" ht="14.25" customHeight="1" x14ac:dyDescent="0.3">
      <c r="A815" s="14"/>
      <c r="B815" s="14"/>
      <c r="C815" s="14"/>
      <c r="D815" s="14"/>
      <c r="E815" s="15"/>
    </row>
    <row r="816" spans="1:5" ht="14.25" customHeight="1" x14ac:dyDescent="0.3">
      <c r="A816" s="14"/>
      <c r="B816" s="14"/>
      <c r="C816" s="14"/>
      <c r="D816" s="14"/>
      <c r="E816" s="15"/>
    </row>
    <row r="817" spans="1:5" ht="14.25" customHeight="1" x14ac:dyDescent="0.3">
      <c r="A817" s="14"/>
      <c r="B817" s="14"/>
      <c r="C817" s="14"/>
      <c r="D817" s="14"/>
      <c r="E817" s="15"/>
    </row>
    <row r="818" spans="1:5" ht="14.25" customHeight="1" x14ac:dyDescent="0.3">
      <c r="A818" s="14"/>
      <c r="B818" s="14"/>
      <c r="C818" s="14"/>
      <c r="D818" s="14"/>
      <c r="E818" s="15"/>
    </row>
    <row r="819" spans="1:5" ht="14.25" customHeight="1" x14ac:dyDescent="0.3">
      <c r="A819" s="14"/>
      <c r="B819" s="14"/>
      <c r="C819" s="14"/>
      <c r="D819" s="14"/>
      <c r="E819" s="15"/>
    </row>
    <row r="820" spans="1:5" ht="14.25" customHeight="1" x14ac:dyDescent="0.3">
      <c r="A820" s="14"/>
      <c r="B820" s="14"/>
      <c r="C820" s="14"/>
      <c r="D820" s="14"/>
      <c r="E820" s="15"/>
    </row>
    <row r="821" spans="1:5" ht="14.25" customHeight="1" x14ac:dyDescent="0.3">
      <c r="A821" s="14"/>
      <c r="B821" s="14"/>
      <c r="C821" s="14"/>
      <c r="D821" s="14"/>
      <c r="E821" s="15"/>
    </row>
    <row r="822" spans="1:5" ht="14.25" customHeight="1" x14ac:dyDescent="0.3">
      <c r="A822" s="14"/>
      <c r="B822" s="14"/>
      <c r="C822" s="14"/>
      <c r="D822" s="14"/>
      <c r="E822" s="15"/>
    </row>
    <row r="823" spans="1:5" ht="14.25" customHeight="1" x14ac:dyDescent="0.3">
      <c r="A823" s="14"/>
      <c r="B823" s="14"/>
      <c r="C823" s="14"/>
      <c r="D823" s="14"/>
      <c r="E823" s="15"/>
    </row>
    <row r="824" spans="1:5" ht="14.25" customHeight="1" x14ac:dyDescent="0.3">
      <c r="A824" s="14"/>
      <c r="B824" s="14"/>
      <c r="C824" s="14"/>
      <c r="D824" s="14"/>
      <c r="E824" s="15"/>
    </row>
    <row r="825" spans="1:5" ht="14.25" customHeight="1" x14ac:dyDescent="0.3">
      <c r="A825" s="14"/>
      <c r="B825" s="14"/>
      <c r="C825" s="14"/>
      <c r="D825" s="14"/>
      <c r="E825" s="15"/>
    </row>
    <row r="826" spans="1:5" ht="14.25" customHeight="1" x14ac:dyDescent="0.3">
      <c r="A826" s="14"/>
      <c r="B826" s="14"/>
      <c r="C826" s="14"/>
      <c r="D826" s="14"/>
      <c r="E826" s="15"/>
    </row>
    <row r="827" spans="1:5" ht="14.25" customHeight="1" x14ac:dyDescent="0.3">
      <c r="A827" s="14"/>
      <c r="B827" s="14"/>
      <c r="C827" s="14"/>
      <c r="D827" s="14"/>
      <c r="E827" s="15"/>
    </row>
    <row r="828" spans="1:5" ht="14.25" customHeight="1" x14ac:dyDescent="0.3">
      <c r="A828" s="14"/>
      <c r="B828" s="14"/>
      <c r="C828" s="14"/>
      <c r="D828" s="14"/>
      <c r="E828" s="15"/>
    </row>
    <row r="829" spans="1:5" ht="14.25" customHeight="1" x14ac:dyDescent="0.3">
      <c r="A829" s="14"/>
      <c r="B829" s="14"/>
      <c r="C829" s="14"/>
      <c r="D829" s="14"/>
      <c r="E829" s="15"/>
    </row>
    <row r="830" spans="1:5" ht="14.25" customHeight="1" x14ac:dyDescent="0.3">
      <c r="A830" s="14"/>
      <c r="B830" s="14"/>
      <c r="C830" s="14"/>
      <c r="D830" s="14"/>
      <c r="E830" s="15"/>
    </row>
    <row r="831" spans="1:5" ht="14.25" customHeight="1" x14ac:dyDescent="0.3">
      <c r="A831" s="14"/>
      <c r="B831" s="14"/>
      <c r="C831" s="14"/>
      <c r="D831" s="14"/>
      <c r="E831" s="15"/>
    </row>
    <row r="832" spans="1:5" ht="14.25" customHeight="1" x14ac:dyDescent="0.3">
      <c r="A832" s="14"/>
      <c r="B832" s="14"/>
      <c r="C832" s="14"/>
      <c r="D832" s="14"/>
      <c r="E832" s="15"/>
    </row>
    <row r="833" spans="1:5" ht="14.25" customHeight="1" x14ac:dyDescent="0.3">
      <c r="A833" s="14"/>
      <c r="B833" s="14"/>
      <c r="C833" s="14"/>
      <c r="D833" s="14"/>
      <c r="E833" s="15"/>
    </row>
    <row r="834" spans="1:5" ht="14.25" customHeight="1" x14ac:dyDescent="0.3">
      <c r="A834" s="14"/>
      <c r="B834" s="14"/>
      <c r="C834" s="14"/>
      <c r="D834" s="14"/>
      <c r="E834" s="15"/>
    </row>
    <row r="835" spans="1:5" ht="14.25" customHeight="1" x14ac:dyDescent="0.3">
      <c r="A835" s="14"/>
      <c r="B835" s="14"/>
      <c r="C835" s="14"/>
      <c r="D835" s="14"/>
      <c r="E835" s="15"/>
    </row>
    <row r="836" spans="1:5" ht="14.25" customHeight="1" x14ac:dyDescent="0.3">
      <c r="A836" s="14"/>
      <c r="B836" s="14"/>
      <c r="C836" s="14"/>
      <c r="D836" s="14"/>
      <c r="E836" s="15"/>
    </row>
    <row r="837" spans="1:5" ht="14.25" customHeight="1" x14ac:dyDescent="0.3">
      <c r="A837" s="14"/>
      <c r="B837" s="14"/>
      <c r="C837" s="14"/>
      <c r="D837" s="14"/>
      <c r="E837" s="15"/>
    </row>
    <row r="838" spans="1:5" ht="14.25" customHeight="1" x14ac:dyDescent="0.3">
      <c r="A838" s="14"/>
      <c r="B838" s="14"/>
      <c r="C838" s="14"/>
      <c r="D838" s="14"/>
      <c r="E838" s="15"/>
    </row>
    <row r="839" spans="1:5" ht="14.25" customHeight="1" x14ac:dyDescent="0.3">
      <c r="A839" s="14"/>
      <c r="B839" s="14"/>
      <c r="C839" s="14"/>
      <c r="D839" s="14"/>
      <c r="E839" s="15"/>
    </row>
    <row r="840" spans="1:5" ht="14.25" customHeight="1" x14ac:dyDescent="0.3">
      <c r="A840" s="14"/>
      <c r="B840" s="14"/>
      <c r="C840" s="14"/>
      <c r="D840" s="14"/>
      <c r="E840" s="15"/>
    </row>
    <row r="841" spans="1:5" ht="14.25" customHeight="1" x14ac:dyDescent="0.3">
      <c r="A841" s="14"/>
      <c r="B841" s="14"/>
      <c r="C841" s="14"/>
      <c r="D841" s="14"/>
      <c r="E841" s="15"/>
    </row>
    <row r="842" spans="1:5" ht="14.25" customHeight="1" x14ac:dyDescent="0.3">
      <c r="A842" s="14"/>
      <c r="B842" s="14"/>
      <c r="C842" s="14"/>
      <c r="D842" s="14"/>
      <c r="E842" s="15"/>
    </row>
    <row r="843" spans="1:5" ht="14.25" customHeight="1" x14ac:dyDescent="0.3">
      <c r="A843" s="14"/>
      <c r="B843" s="14"/>
      <c r="C843" s="14"/>
      <c r="D843" s="14"/>
      <c r="E843" s="15"/>
    </row>
    <row r="844" spans="1:5" ht="14.25" customHeight="1" x14ac:dyDescent="0.3">
      <c r="A844" s="14"/>
      <c r="B844" s="14"/>
      <c r="C844" s="14"/>
      <c r="D844" s="14"/>
      <c r="E844" s="15"/>
    </row>
    <row r="845" spans="1:5" ht="14.25" customHeight="1" x14ac:dyDescent="0.3">
      <c r="A845" s="14"/>
      <c r="B845" s="14"/>
      <c r="C845" s="14"/>
      <c r="D845" s="14"/>
      <c r="E845" s="15"/>
    </row>
    <row r="846" spans="1:5" ht="14.25" customHeight="1" x14ac:dyDescent="0.3">
      <c r="A846" s="14"/>
      <c r="B846" s="14"/>
      <c r="C846" s="14"/>
      <c r="D846" s="14"/>
      <c r="E846" s="15"/>
    </row>
    <row r="847" spans="1:5" ht="14.25" customHeight="1" x14ac:dyDescent="0.3">
      <c r="A847" s="14"/>
      <c r="B847" s="14"/>
      <c r="C847" s="14"/>
      <c r="D847" s="14"/>
      <c r="E847" s="15"/>
    </row>
    <row r="848" spans="1:5" ht="14.25" customHeight="1" x14ac:dyDescent="0.3">
      <c r="A848" s="14"/>
      <c r="B848" s="14"/>
      <c r="C848" s="14"/>
      <c r="D848" s="14"/>
      <c r="E848" s="15"/>
    </row>
    <row r="849" spans="1:5" ht="14.25" customHeight="1" x14ac:dyDescent="0.3">
      <c r="A849" s="14"/>
      <c r="B849" s="14"/>
      <c r="C849" s="14"/>
      <c r="D849" s="14"/>
      <c r="E849" s="15"/>
    </row>
    <row r="850" spans="1:5" ht="14.25" customHeight="1" x14ac:dyDescent="0.3">
      <c r="A850" s="14"/>
      <c r="B850" s="14"/>
      <c r="C850" s="14"/>
      <c r="D850" s="14"/>
      <c r="E850" s="15"/>
    </row>
    <row r="851" spans="1:5" ht="14.25" customHeight="1" x14ac:dyDescent="0.3">
      <c r="A851" s="14"/>
      <c r="B851" s="14"/>
      <c r="C851" s="14"/>
      <c r="D851" s="14"/>
      <c r="E851" s="15"/>
    </row>
    <row r="852" spans="1:5" ht="14.25" customHeight="1" x14ac:dyDescent="0.3">
      <c r="A852" s="14"/>
      <c r="B852" s="14"/>
      <c r="C852" s="14"/>
      <c r="D852" s="14"/>
      <c r="E852" s="15"/>
    </row>
    <row r="853" spans="1:5" ht="14.25" customHeight="1" x14ac:dyDescent="0.3">
      <c r="A853" s="14"/>
      <c r="B853" s="14"/>
      <c r="C853" s="14"/>
      <c r="D853" s="14"/>
      <c r="E853" s="15"/>
    </row>
    <row r="854" spans="1:5" ht="14.25" customHeight="1" x14ac:dyDescent="0.3">
      <c r="A854" s="14"/>
      <c r="B854" s="14"/>
      <c r="C854" s="14"/>
      <c r="D854" s="14"/>
      <c r="E854" s="15"/>
    </row>
    <row r="855" spans="1:5" ht="14.25" customHeight="1" x14ac:dyDescent="0.3">
      <c r="A855" s="14"/>
      <c r="B855" s="14"/>
      <c r="C855" s="14"/>
      <c r="D855" s="14"/>
      <c r="E855" s="15"/>
    </row>
    <row r="856" spans="1:5" ht="14.25" customHeight="1" x14ac:dyDescent="0.3">
      <c r="A856" s="14"/>
      <c r="B856" s="14"/>
      <c r="C856" s="14"/>
      <c r="D856" s="14"/>
      <c r="E856" s="15"/>
    </row>
    <row r="857" spans="1:5" ht="14.25" customHeight="1" x14ac:dyDescent="0.3">
      <c r="A857" s="14"/>
      <c r="B857" s="14"/>
      <c r="C857" s="14"/>
      <c r="D857" s="14"/>
      <c r="E857" s="15"/>
    </row>
    <row r="858" spans="1:5" ht="14.25" customHeight="1" x14ac:dyDescent="0.3">
      <c r="A858" s="14"/>
      <c r="B858" s="14"/>
      <c r="C858" s="14"/>
      <c r="D858" s="14"/>
      <c r="E858" s="15"/>
    </row>
    <row r="859" spans="1:5" ht="14.25" customHeight="1" x14ac:dyDescent="0.3">
      <c r="A859" s="14"/>
      <c r="B859" s="14"/>
      <c r="C859" s="14"/>
      <c r="D859" s="14"/>
      <c r="E859" s="15"/>
    </row>
    <row r="860" spans="1:5" ht="14.25" customHeight="1" x14ac:dyDescent="0.3">
      <c r="A860" s="14"/>
      <c r="B860" s="14"/>
      <c r="C860" s="14"/>
      <c r="D860" s="14"/>
      <c r="E860" s="15"/>
    </row>
    <row r="861" spans="1:5" ht="14.25" customHeight="1" x14ac:dyDescent="0.3">
      <c r="A861" s="14"/>
      <c r="B861" s="14"/>
      <c r="C861" s="14"/>
      <c r="D861" s="14"/>
      <c r="E861" s="15"/>
    </row>
    <row r="862" spans="1:5" ht="14.25" customHeight="1" x14ac:dyDescent="0.3">
      <c r="A862" s="14"/>
      <c r="B862" s="14"/>
      <c r="C862" s="14"/>
      <c r="D862" s="14"/>
      <c r="E862" s="15"/>
    </row>
    <row r="863" spans="1:5" ht="14.25" customHeight="1" x14ac:dyDescent="0.3">
      <c r="A863" s="14"/>
      <c r="B863" s="14"/>
      <c r="C863" s="14"/>
      <c r="D863" s="14"/>
      <c r="E863" s="15"/>
    </row>
    <row r="864" spans="1:5" ht="14.25" customHeight="1" x14ac:dyDescent="0.3">
      <c r="A864" s="14"/>
      <c r="B864" s="14"/>
      <c r="C864" s="14"/>
      <c r="D864" s="14"/>
      <c r="E864" s="15"/>
    </row>
    <row r="865" spans="1:5" ht="14.25" customHeight="1" x14ac:dyDescent="0.3">
      <c r="A865" s="14"/>
      <c r="B865" s="14"/>
      <c r="C865" s="14"/>
      <c r="D865" s="14"/>
      <c r="E865" s="15"/>
    </row>
    <row r="866" spans="1:5" ht="14.25" customHeight="1" x14ac:dyDescent="0.3">
      <c r="A866" s="14"/>
      <c r="B866" s="14"/>
      <c r="C866" s="14"/>
      <c r="D866" s="14"/>
      <c r="E866" s="15"/>
    </row>
    <row r="867" spans="1:5" ht="14.25" customHeight="1" x14ac:dyDescent="0.3">
      <c r="A867" s="14"/>
      <c r="B867" s="14"/>
      <c r="C867" s="14"/>
      <c r="D867" s="14"/>
      <c r="E867" s="15"/>
    </row>
    <row r="868" spans="1:5" ht="14.25" customHeight="1" x14ac:dyDescent="0.3">
      <c r="A868" s="14"/>
      <c r="B868" s="14"/>
      <c r="C868" s="14"/>
      <c r="D868" s="14"/>
      <c r="E868" s="15"/>
    </row>
    <row r="869" spans="1:5" ht="14.25" customHeight="1" x14ac:dyDescent="0.3">
      <c r="A869" s="14"/>
      <c r="B869" s="14"/>
      <c r="C869" s="14"/>
      <c r="D869" s="14"/>
      <c r="E869" s="15"/>
    </row>
    <row r="870" spans="1:5" ht="14.25" customHeight="1" x14ac:dyDescent="0.3">
      <c r="A870" s="14"/>
      <c r="B870" s="14"/>
      <c r="C870" s="14"/>
      <c r="D870" s="14"/>
      <c r="E870" s="15"/>
    </row>
    <row r="871" spans="1:5" ht="14.25" customHeight="1" x14ac:dyDescent="0.3">
      <c r="A871" s="14"/>
      <c r="B871" s="14"/>
      <c r="C871" s="14"/>
      <c r="D871" s="14"/>
      <c r="E871" s="15"/>
    </row>
    <row r="872" spans="1:5" ht="14.25" customHeight="1" x14ac:dyDescent="0.3">
      <c r="A872" s="14"/>
      <c r="B872" s="14"/>
      <c r="C872" s="14"/>
      <c r="D872" s="14"/>
      <c r="E872" s="15"/>
    </row>
    <row r="873" spans="1:5" ht="14.25" customHeight="1" x14ac:dyDescent="0.3">
      <c r="A873" s="14"/>
      <c r="B873" s="14"/>
      <c r="C873" s="14"/>
      <c r="D873" s="14"/>
      <c r="E873" s="15"/>
    </row>
    <row r="874" spans="1:5" ht="14.25" customHeight="1" x14ac:dyDescent="0.3">
      <c r="A874" s="14"/>
      <c r="B874" s="14"/>
      <c r="C874" s="14"/>
      <c r="D874" s="14"/>
      <c r="E874" s="15"/>
    </row>
    <row r="875" spans="1:5" ht="14.25" customHeight="1" x14ac:dyDescent="0.3">
      <c r="A875" s="14"/>
      <c r="B875" s="14"/>
      <c r="C875" s="14"/>
      <c r="D875" s="14"/>
      <c r="E875" s="15"/>
    </row>
    <row r="876" spans="1:5" ht="14.25" customHeight="1" x14ac:dyDescent="0.3">
      <c r="A876" s="14"/>
      <c r="B876" s="14"/>
      <c r="C876" s="14"/>
      <c r="D876" s="14"/>
      <c r="E876" s="15"/>
    </row>
    <row r="877" spans="1:5" ht="14.25" customHeight="1" x14ac:dyDescent="0.3">
      <c r="A877" s="14"/>
      <c r="B877" s="14"/>
      <c r="C877" s="14"/>
      <c r="D877" s="14"/>
      <c r="E877" s="15"/>
    </row>
    <row r="878" spans="1:5" ht="14.25" customHeight="1" x14ac:dyDescent="0.3">
      <c r="A878" s="14"/>
      <c r="B878" s="14"/>
      <c r="C878" s="14"/>
      <c r="D878" s="14"/>
      <c r="E878" s="15"/>
    </row>
    <row r="879" spans="1:5" ht="14.25" customHeight="1" x14ac:dyDescent="0.3">
      <c r="A879" s="14"/>
      <c r="B879" s="14"/>
      <c r="C879" s="14"/>
      <c r="D879" s="14"/>
      <c r="E879" s="15"/>
    </row>
    <row r="880" spans="1:5" ht="14.25" customHeight="1" x14ac:dyDescent="0.3">
      <c r="A880" s="14"/>
      <c r="B880" s="14"/>
      <c r="C880" s="14"/>
      <c r="D880" s="14"/>
      <c r="E880" s="15"/>
    </row>
    <row r="881" spans="1:5" ht="14.25" customHeight="1" x14ac:dyDescent="0.3">
      <c r="A881" s="14"/>
      <c r="B881" s="14"/>
      <c r="C881" s="14"/>
      <c r="D881" s="14"/>
      <c r="E881" s="15"/>
    </row>
    <row r="882" spans="1:5" ht="14.25" customHeight="1" x14ac:dyDescent="0.3">
      <c r="A882" s="14"/>
      <c r="B882" s="14"/>
      <c r="C882" s="14"/>
      <c r="D882" s="14"/>
      <c r="E882" s="15"/>
    </row>
    <row r="883" spans="1:5" ht="14.25" customHeight="1" x14ac:dyDescent="0.3">
      <c r="A883" s="14"/>
      <c r="B883" s="14"/>
      <c r="C883" s="14"/>
      <c r="D883" s="14"/>
      <c r="E883" s="15"/>
    </row>
    <row r="884" spans="1:5" ht="14.25" customHeight="1" x14ac:dyDescent="0.3">
      <c r="A884" s="14"/>
      <c r="B884" s="14"/>
      <c r="C884" s="14"/>
      <c r="D884" s="14"/>
      <c r="E884" s="15"/>
    </row>
    <row r="885" spans="1:5" ht="14.25" customHeight="1" x14ac:dyDescent="0.3">
      <c r="A885" s="14"/>
      <c r="B885" s="14"/>
      <c r="C885" s="14"/>
      <c r="D885" s="14"/>
      <c r="E885" s="15"/>
    </row>
    <row r="886" spans="1:5" ht="14.25" customHeight="1" x14ac:dyDescent="0.3">
      <c r="A886" s="14"/>
      <c r="B886" s="14"/>
      <c r="C886" s="14"/>
      <c r="D886" s="14"/>
      <c r="E886" s="15"/>
    </row>
    <row r="887" spans="1:5" ht="14.25" customHeight="1" x14ac:dyDescent="0.3">
      <c r="A887" s="14"/>
      <c r="B887" s="14"/>
      <c r="C887" s="14"/>
      <c r="D887" s="14"/>
      <c r="E887" s="15"/>
    </row>
    <row r="888" spans="1:5" ht="14.25" customHeight="1" x14ac:dyDescent="0.3">
      <c r="A888" s="14"/>
      <c r="B888" s="14"/>
      <c r="C888" s="14"/>
      <c r="D888" s="14"/>
      <c r="E888" s="15"/>
    </row>
    <row r="889" spans="1:5" ht="14.25" customHeight="1" x14ac:dyDescent="0.3">
      <c r="A889" s="14"/>
      <c r="B889" s="14"/>
      <c r="C889" s="14"/>
      <c r="D889" s="14"/>
      <c r="E889" s="15"/>
    </row>
    <row r="890" spans="1:5" ht="14.25" customHeight="1" x14ac:dyDescent="0.3">
      <c r="A890" s="14"/>
      <c r="B890" s="14"/>
      <c r="C890" s="14"/>
      <c r="D890" s="14"/>
      <c r="E890" s="15"/>
    </row>
    <row r="891" spans="1:5" ht="14.25" customHeight="1" x14ac:dyDescent="0.3">
      <c r="A891" s="14"/>
      <c r="B891" s="14"/>
      <c r="C891" s="14"/>
      <c r="D891" s="14"/>
      <c r="E891" s="15"/>
    </row>
    <row r="892" spans="1:5" ht="14.25" customHeight="1" x14ac:dyDescent="0.3">
      <c r="A892" s="14"/>
      <c r="B892" s="14"/>
      <c r="C892" s="14"/>
      <c r="D892" s="14"/>
      <c r="E892" s="15"/>
    </row>
    <row r="893" spans="1:5" ht="14.25" customHeight="1" x14ac:dyDescent="0.3">
      <c r="A893" s="14"/>
      <c r="B893" s="14"/>
      <c r="C893" s="14"/>
      <c r="D893" s="14"/>
      <c r="E893" s="15"/>
    </row>
    <row r="894" spans="1:5" ht="14.25" customHeight="1" x14ac:dyDescent="0.3">
      <c r="A894" s="14"/>
      <c r="B894" s="14"/>
      <c r="C894" s="14"/>
      <c r="D894" s="14"/>
      <c r="E894" s="15"/>
    </row>
    <row r="895" spans="1:5" ht="14.25" customHeight="1" x14ac:dyDescent="0.3">
      <c r="A895" s="14"/>
      <c r="B895" s="14"/>
      <c r="C895" s="14"/>
      <c r="D895" s="14"/>
      <c r="E895" s="15"/>
    </row>
    <row r="896" spans="1:5" ht="14.25" customHeight="1" x14ac:dyDescent="0.3">
      <c r="A896" s="14"/>
      <c r="B896" s="14"/>
      <c r="C896" s="14"/>
      <c r="D896" s="14"/>
      <c r="E896" s="15"/>
    </row>
    <row r="897" spans="1:5" ht="14.25" customHeight="1" x14ac:dyDescent="0.3">
      <c r="A897" s="14"/>
      <c r="B897" s="14"/>
      <c r="C897" s="14"/>
      <c r="D897" s="14"/>
      <c r="E897" s="15"/>
    </row>
    <row r="898" spans="1:5" ht="14.25" customHeight="1" x14ac:dyDescent="0.3">
      <c r="A898" s="14"/>
      <c r="B898" s="14"/>
      <c r="C898" s="14"/>
      <c r="D898" s="14"/>
      <c r="E898" s="15"/>
    </row>
    <row r="899" spans="1:5" ht="14.25" customHeight="1" x14ac:dyDescent="0.3">
      <c r="A899" s="14"/>
      <c r="B899" s="14"/>
      <c r="C899" s="14"/>
      <c r="D899" s="14"/>
      <c r="E899" s="15"/>
    </row>
    <row r="900" spans="1:5" ht="14.25" customHeight="1" x14ac:dyDescent="0.3">
      <c r="A900" s="14"/>
      <c r="B900" s="14"/>
      <c r="C900" s="14"/>
      <c r="D900" s="14"/>
      <c r="E900" s="15"/>
    </row>
    <row r="901" spans="1:5" ht="14.25" customHeight="1" x14ac:dyDescent="0.3">
      <c r="A901" s="14"/>
      <c r="B901" s="14"/>
      <c r="C901" s="14"/>
      <c r="D901" s="14"/>
      <c r="E901" s="15"/>
    </row>
    <row r="902" spans="1:5" ht="14.25" customHeight="1" x14ac:dyDescent="0.3">
      <c r="A902" s="14"/>
      <c r="B902" s="14"/>
      <c r="C902" s="14"/>
      <c r="D902" s="14"/>
      <c r="E902" s="15"/>
    </row>
    <row r="903" spans="1:5" ht="14.25" customHeight="1" x14ac:dyDescent="0.3">
      <c r="A903" s="14"/>
      <c r="B903" s="14"/>
      <c r="C903" s="14"/>
      <c r="D903" s="14"/>
      <c r="E903" s="15"/>
    </row>
    <row r="904" spans="1:5" ht="14.25" customHeight="1" x14ac:dyDescent="0.3">
      <c r="A904" s="14"/>
      <c r="B904" s="14"/>
      <c r="C904" s="14"/>
      <c r="D904" s="14"/>
      <c r="E904" s="15"/>
    </row>
    <row r="905" spans="1:5" ht="14.25" customHeight="1" x14ac:dyDescent="0.3">
      <c r="A905" s="14"/>
      <c r="B905" s="14"/>
      <c r="C905" s="14"/>
      <c r="D905" s="14"/>
      <c r="E905" s="15"/>
    </row>
    <row r="906" spans="1:5" ht="14.25" customHeight="1" x14ac:dyDescent="0.3">
      <c r="A906" s="14"/>
      <c r="B906" s="14"/>
      <c r="C906" s="14"/>
      <c r="D906" s="14"/>
      <c r="E906" s="15"/>
    </row>
    <row r="907" spans="1:5" ht="14.25" customHeight="1" x14ac:dyDescent="0.3">
      <c r="A907" s="14"/>
      <c r="B907" s="14"/>
      <c r="C907" s="14"/>
      <c r="D907" s="14"/>
      <c r="E907" s="15"/>
    </row>
    <row r="908" spans="1:5" ht="14.25" customHeight="1" x14ac:dyDescent="0.3">
      <c r="A908" s="14"/>
      <c r="B908" s="14"/>
      <c r="C908" s="14"/>
      <c r="D908" s="14"/>
      <c r="E908" s="15"/>
    </row>
    <row r="909" spans="1:5" ht="14.25" customHeight="1" x14ac:dyDescent="0.3">
      <c r="A909" s="14"/>
      <c r="B909" s="14"/>
      <c r="C909" s="14"/>
      <c r="D909" s="14"/>
      <c r="E909" s="15"/>
    </row>
    <row r="910" spans="1:5" ht="14.25" customHeight="1" x14ac:dyDescent="0.3">
      <c r="A910" s="14"/>
      <c r="B910" s="14"/>
      <c r="C910" s="14"/>
      <c r="D910" s="14"/>
      <c r="E910" s="15"/>
    </row>
    <row r="911" spans="1:5" ht="14.25" customHeight="1" x14ac:dyDescent="0.3">
      <c r="A911" s="14"/>
      <c r="B911" s="14"/>
      <c r="C911" s="14"/>
      <c r="D911" s="14"/>
      <c r="E911" s="15"/>
    </row>
    <row r="912" spans="1:5" ht="14.25" customHeight="1" x14ac:dyDescent="0.3">
      <c r="A912" s="14"/>
      <c r="B912" s="14"/>
      <c r="C912" s="14"/>
      <c r="D912" s="14"/>
      <c r="E912" s="15"/>
    </row>
    <row r="913" spans="1:5" ht="14.25" customHeight="1" x14ac:dyDescent="0.3">
      <c r="A913" s="14"/>
      <c r="B913" s="14"/>
      <c r="C913" s="14"/>
      <c r="D913" s="14"/>
      <c r="E913" s="15"/>
    </row>
    <row r="914" spans="1:5" ht="14.25" customHeight="1" x14ac:dyDescent="0.3">
      <c r="A914" s="14"/>
      <c r="B914" s="14"/>
      <c r="C914" s="14"/>
      <c r="D914" s="14"/>
      <c r="E914" s="15"/>
    </row>
    <row r="915" spans="1:5" ht="14.25" customHeight="1" x14ac:dyDescent="0.3">
      <c r="A915" s="14"/>
      <c r="B915" s="14"/>
      <c r="C915" s="14"/>
      <c r="D915" s="14"/>
      <c r="E915" s="15"/>
    </row>
    <row r="916" spans="1:5" ht="14.25" customHeight="1" x14ac:dyDescent="0.3">
      <c r="A916" s="14"/>
      <c r="B916" s="14"/>
      <c r="C916" s="14"/>
      <c r="D916" s="14"/>
      <c r="E916" s="15"/>
    </row>
    <row r="917" spans="1:5" ht="14.25" customHeight="1" x14ac:dyDescent="0.3">
      <c r="A917" s="14"/>
      <c r="B917" s="14"/>
      <c r="C917" s="14"/>
      <c r="D917" s="14"/>
      <c r="E917" s="15"/>
    </row>
    <row r="918" spans="1:5" ht="14.25" customHeight="1" x14ac:dyDescent="0.3">
      <c r="A918" s="14"/>
      <c r="B918" s="14"/>
      <c r="C918" s="14"/>
      <c r="D918" s="14"/>
      <c r="E918" s="15"/>
    </row>
    <row r="919" spans="1:5" ht="14.25" customHeight="1" x14ac:dyDescent="0.3">
      <c r="A919" s="14"/>
      <c r="B919" s="14"/>
      <c r="C919" s="14"/>
      <c r="D919" s="14"/>
      <c r="E919" s="15"/>
    </row>
    <row r="920" spans="1:5" ht="14.25" customHeight="1" x14ac:dyDescent="0.3">
      <c r="A920" s="14"/>
      <c r="B920" s="14"/>
      <c r="C920" s="14"/>
      <c r="D920" s="14"/>
      <c r="E920" s="15"/>
    </row>
    <row r="921" spans="1:5" ht="14.25" customHeight="1" x14ac:dyDescent="0.3">
      <c r="A921" s="14"/>
      <c r="B921" s="14"/>
      <c r="C921" s="14"/>
      <c r="D921" s="14"/>
      <c r="E921" s="15"/>
    </row>
    <row r="922" spans="1:5" ht="14.25" customHeight="1" x14ac:dyDescent="0.3">
      <c r="A922" s="14"/>
      <c r="B922" s="14"/>
      <c r="C922" s="14"/>
      <c r="D922" s="14"/>
      <c r="E922" s="15"/>
    </row>
    <row r="923" spans="1:5" ht="14.25" customHeight="1" x14ac:dyDescent="0.3">
      <c r="A923" s="14"/>
      <c r="B923" s="14"/>
      <c r="C923" s="14"/>
      <c r="D923" s="14"/>
      <c r="E923" s="15"/>
    </row>
    <row r="924" spans="1:5" ht="14.25" customHeight="1" x14ac:dyDescent="0.3">
      <c r="A924" s="14"/>
      <c r="B924" s="14"/>
      <c r="C924" s="14"/>
      <c r="D924" s="14"/>
      <c r="E924" s="15"/>
    </row>
    <row r="925" spans="1:5" ht="14.25" customHeight="1" x14ac:dyDescent="0.3">
      <c r="A925" s="14"/>
      <c r="B925" s="14"/>
      <c r="C925" s="14"/>
      <c r="D925" s="14"/>
      <c r="E925" s="15"/>
    </row>
    <row r="926" spans="1:5" ht="14.25" customHeight="1" x14ac:dyDescent="0.3">
      <c r="A926" s="14"/>
      <c r="B926" s="14"/>
      <c r="C926" s="14"/>
      <c r="D926" s="14"/>
      <c r="E926" s="15"/>
    </row>
    <row r="927" spans="1:5" ht="14.25" customHeight="1" x14ac:dyDescent="0.3">
      <c r="A927" s="14"/>
      <c r="B927" s="14"/>
      <c r="C927" s="14"/>
      <c r="D927" s="14"/>
      <c r="E927" s="15"/>
    </row>
    <row r="928" spans="1:5" ht="14.25" customHeight="1" x14ac:dyDescent="0.3">
      <c r="A928" s="14"/>
      <c r="B928" s="14"/>
      <c r="C928" s="14"/>
      <c r="D928" s="14"/>
      <c r="E928" s="15"/>
    </row>
    <row r="929" spans="1:5" ht="14.25" customHeight="1" x14ac:dyDescent="0.3">
      <c r="A929" s="14"/>
      <c r="B929" s="14"/>
      <c r="C929" s="14"/>
      <c r="D929" s="14"/>
      <c r="E929" s="15"/>
    </row>
    <row r="930" spans="1:5" ht="14.25" customHeight="1" x14ac:dyDescent="0.3">
      <c r="A930" s="14"/>
      <c r="B930" s="14"/>
      <c r="C930" s="14"/>
      <c r="D930" s="14"/>
      <c r="E930" s="15"/>
    </row>
    <row r="931" spans="1:5" ht="14.25" customHeight="1" x14ac:dyDescent="0.3">
      <c r="A931" s="14"/>
      <c r="B931" s="14"/>
      <c r="C931" s="14"/>
      <c r="D931" s="14"/>
      <c r="E931" s="15"/>
    </row>
    <row r="932" spans="1:5" ht="14.25" customHeight="1" x14ac:dyDescent="0.3">
      <c r="A932" s="14"/>
      <c r="B932" s="14"/>
      <c r="C932" s="14"/>
      <c r="D932" s="14"/>
      <c r="E932" s="15"/>
    </row>
    <row r="933" spans="1:5" ht="14.25" customHeight="1" x14ac:dyDescent="0.3">
      <c r="A933" s="14"/>
      <c r="B933" s="14"/>
      <c r="C933" s="14"/>
      <c r="D933" s="14"/>
      <c r="E933" s="15"/>
    </row>
    <row r="934" spans="1:5" ht="14.25" customHeight="1" x14ac:dyDescent="0.3">
      <c r="A934" s="14"/>
      <c r="B934" s="14"/>
      <c r="C934" s="14"/>
      <c r="D934" s="14"/>
      <c r="E934" s="15"/>
    </row>
    <row r="935" spans="1:5" ht="14.25" customHeight="1" x14ac:dyDescent="0.3">
      <c r="A935" s="14"/>
      <c r="B935" s="14"/>
      <c r="C935" s="14"/>
      <c r="D935" s="14"/>
      <c r="E935" s="15"/>
    </row>
    <row r="936" spans="1:5" ht="14.25" customHeight="1" x14ac:dyDescent="0.3">
      <c r="A936" s="14"/>
      <c r="B936" s="14"/>
      <c r="C936" s="14"/>
      <c r="D936" s="14"/>
      <c r="E936" s="15"/>
    </row>
    <row r="937" spans="1:5" ht="14.25" customHeight="1" x14ac:dyDescent="0.3">
      <c r="A937" s="14"/>
      <c r="B937" s="14"/>
      <c r="C937" s="14"/>
      <c r="D937" s="14"/>
      <c r="E937" s="15"/>
    </row>
    <row r="938" spans="1:5" ht="14.25" customHeight="1" x14ac:dyDescent="0.3">
      <c r="A938" s="14"/>
      <c r="B938" s="14"/>
      <c r="C938" s="14"/>
      <c r="D938" s="14"/>
      <c r="E938" s="15"/>
    </row>
    <row r="939" spans="1:5" ht="14.25" customHeight="1" x14ac:dyDescent="0.3">
      <c r="A939" s="14"/>
      <c r="B939" s="14"/>
      <c r="C939" s="14"/>
      <c r="D939" s="14"/>
      <c r="E939" s="15"/>
    </row>
    <row r="940" spans="1:5" ht="14.25" customHeight="1" x14ac:dyDescent="0.3">
      <c r="A940" s="14"/>
      <c r="B940" s="14"/>
      <c r="C940" s="14"/>
      <c r="D940" s="14"/>
      <c r="E940" s="15"/>
    </row>
    <row r="941" spans="1:5" ht="14.25" customHeight="1" x14ac:dyDescent="0.3">
      <c r="A941" s="14"/>
      <c r="B941" s="14"/>
      <c r="C941" s="14"/>
      <c r="D941" s="14"/>
      <c r="E941" s="15"/>
    </row>
    <row r="942" spans="1:5" ht="14.25" customHeight="1" x14ac:dyDescent="0.3">
      <c r="A942" s="14"/>
      <c r="B942" s="14"/>
      <c r="C942" s="14"/>
      <c r="D942" s="14"/>
      <c r="E942" s="15"/>
    </row>
    <row r="943" spans="1:5" ht="14.25" customHeight="1" x14ac:dyDescent="0.3">
      <c r="A943" s="14"/>
      <c r="B943" s="14"/>
      <c r="C943" s="14"/>
      <c r="D943" s="14"/>
      <c r="E943" s="15"/>
    </row>
    <row r="944" spans="1:5" ht="14.25" customHeight="1" x14ac:dyDescent="0.3">
      <c r="A944" s="14"/>
      <c r="B944" s="14"/>
      <c r="C944" s="14"/>
      <c r="D944" s="14"/>
      <c r="E944" s="15"/>
    </row>
    <row r="945" spans="1:5" ht="14.25" customHeight="1" x14ac:dyDescent="0.3">
      <c r="A945" s="14"/>
      <c r="B945" s="14"/>
      <c r="C945" s="14"/>
      <c r="D945" s="14"/>
      <c r="E945" s="15"/>
    </row>
    <row r="946" spans="1:5" ht="14.25" customHeight="1" x14ac:dyDescent="0.3">
      <c r="A946" s="14"/>
      <c r="B946" s="14"/>
      <c r="C946" s="14"/>
      <c r="D946" s="14"/>
      <c r="E946" s="15"/>
    </row>
    <row r="947" spans="1:5" ht="14.25" customHeight="1" x14ac:dyDescent="0.3">
      <c r="A947" s="14"/>
      <c r="B947" s="14"/>
      <c r="C947" s="14"/>
      <c r="D947" s="14"/>
      <c r="E947" s="15"/>
    </row>
    <row r="948" spans="1:5" ht="14.25" customHeight="1" x14ac:dyDescent="0.3">
      <c r="A948" s="14"/>
      <c r="B948" s="14"/>
      <c r="C948" s="14"/>
      <c r="D948" s="14"/>
      <c r="E948" s="15"/>
    </row>
    <row r="949" spans="1:5" ht="14.25" customHeight="1" x14ac:dyDescent="0.3">
      <c r="A949" s="14"/>
      <c r="B949" s="14"/>
      <c r="C949" s="14"/>
      <c r="D949" s="14"/>
      <c r="E949" s="15"/>
    </row>
    <row r="950" spans="1:5" ht="14.25" customHeight="1" x14ac:dyDescent="0.3">
      <c r="A950" s="14"/>
      <c r="B950" s="14"/>
      <c r="C950" s="14"/>
      <c r="D950" s="14"/>
      <c r="E950" s="15"/>
    </row>
    <row r="951" spans="1:5" ht="14.25" customHeight="1" x14ac:dyDescent="0.3">
      <c r="A951" s="14"/>
      <c r="B951" s="14"/>
      <c r="C951" s="14"/>
      <c r="D951" s="14"/>
      <c r="E951" s="15"/>
    </row>
    <row r="952" spans="1:5" ht="14.25" customHeight="1" x14ac:dyDescent="0.3">
      <c r="A952" s="14"/>
      <c r="B952" s="14"/>
      <c r="C952" s="14"/>
      <c r="D952" s="14"/>
      <c r="E952" s="15"/>
    </row>
    <row r="953" spans="1:5" ht="14.25" customHeight="1" x14ac:dyDescent="0.3">
      <c r="A953" s="14"/>
      <c r="B953" s="14"/>
      <c r="C953" s="14"/>
      <c r="D953" s="14"/>
      <c r="E953" s="15"/>
    </row>
    <row r="954" spans="1:5" ht="14.25" customHeight="1" x14ac:dyDescent="0.3">
      <c r="A954" s="14"/>
      <c r="B954" s="14"/>
      <c r="C954" s="14"/>
      <c r="D954" s="14"/>
      <c r="E954" s="15"/>
    </row>
    <row r="955" spans="1:5" ht="14.25" customHeight="1" x14ac:dyDescent="0.3">
      <c r="A955" s="14"/>
      <c r="B955" s="14"/>
      <c r="C955" s="14"/>
      <c r="D955" s="14"/>
      <c r="E955" s="15"/>
    </row>
    <row r="956" spans="1:5" ht="14.25" customHeight="1" x14ac:dyDescent="0.3">
      <c r="A956" s="14"/>
      <c r="B956" s="14"/>
      <c r="C956" s="14"/>
      <c r="D956" s="14"/>
      <c r="E956" s="15"/>
    </row>
    <row r="957" spans="1:5" ht="14.25" customHeight="1" x14ac:dyDescent="0.3">
      <c r="A957" s="14"/>
      <c r="B957" s="14"/>
      <c r="C957" s="14"/>
      <c r="D957" s="14"/>
      <c r="E957" s="15"/>
    </row>
    <row r="958" spans="1:5" ht="14.25" customHeight="1" x14ac:dyDescent="0.3">
      <c r="A958" s="14"/>
      <c r="B958" s="14"/>
      <c r="C958" s="14"/>
      <c r="D958" s="14"/>
      <c r="E958" s="15"/>
    </row>
    <row r="959" spans="1:5" ht="14.25" customHeight="1" x14ac:dyDescent="0.3">
      <c r="A959" s="14"/>
      <c r="B959" s="14"/>
      <c r="C959" s="14"/>
      <c r="D959" s="14"/>
      <c r="E959" s="15"/>
    </row>
    <row r="960" spans="1:5" ht="14.25" customHeight="1" x14ac:dyDescent="0.3">
      <c r="A960" s="14"/>
      <c r="B960" s="14"/>
      <c r="C960" s="14"/>
      <c r="D960" s="14"/>
      <c r="E960" s="15"/>
    </row>
    <row r="961" spans="1:5" ht="14.25" customHeight="1" x14ac:dyDescent="0.3">
      <c r="A961" s="14"/>
      <c r="B961" s="14"/>
      <c r="C961" s="14"/>
      <c r="D961" s="14"/>
      <c r="E961" s="15"/>
    </row>
    <row r="962" spans="1:5" ht="14.25" customHeight="1" x14ac:dyDescent="0.3">
      <c r="A962" s="14"/>
      <c r="B962" s="14"/>
      <c r="C962" s="14"/>
      <c r="D962" s="14"/>
      <c r="E962" s="15"/>
    </row>
    <row r="963" spans="1:5" ht="14.25" customHeight="1" x14ac:dyDescent="0.3">
      <c r="A963" s="14"/>
      <c r="B963" s="14"/>
      <c r="C963" s="14"/>
      <c r="D963" s="14"/>
      <c r="E963" s="15"/>
    </row>
    <row r="964" spans="1:5" ht="14.25" customHeight="1" x14ac:dyDescent="0.3">
      <c r="A964" s="14"/>
      <c r="B964" s="14"/>
      <c r="C964" s="14"/>
      <c r="D964" s="14"/>
      <c r="E964" s="15"/>
    </row>
    <row r="965" spans="1:5" ht="14.25" customHeight="1" x14ac:dyDescent="0.3">
      <c r="A965" s="14"/>
      <c r="B965" s="14"/>
      <c r="C965" s="14"/>
      <c r="D965" s="14"/>
      <c r="E965" s="15"/>
    </row>
    <row r="966" spans="1:5" ht="14.25" customHeight="1" x14ac:dyDescent="0.3">
      <c r="A966" s="14"/>
      <c r="B966" s="14"/>
      <c r="C966" s="14"/>
      <c r="D966" s="14"/>
      <c r="E966" s="15"/>
    </row>
    <row r="967" spans="1:5" ht="14.25" customHeight="1" x14ac:dyDescent="0.3">
      <c r="A967" s="14"/>
      <c r="B967" s="14"/>
      <c r="C967" s="14"/>
      <c r="D967" s="14"/>
      <c r="E967" s="15"/>
    </row>
    <row r="968" spans="1:5" ht="14.25" customHeight="1" x14ac:dyDescent="0.3">
      <c r="A968" s="14"/>
      <c r="B968" s="14"/>
      <c r="C968" s="14"/>
      <c r="D968" s="14"/>
      <c r="E968" s="15"/>
    </row>
    <row r="969" spans="1:5" ht="14.25" customHeight="1" x14ac:dyDescent="0.3">
      <c r="A969" s="14"/>
      <c r="B969" s="14"/>
      <c r="C969" s="14"/>
      <c r="D969" s="14"/>
      <c r="E969" s="15"/>
    </row>
    <row r="970" spans="1:5" ht="14.25" customHeight="1" x14ac:dyDescent="0.3">
      <c r="A970" s="14"/>
      <c r="B970" s="14"/>
      <c r="C970" s="14"/>
      <c r="D970" s="14"/>
      <c r="E970" s="15"/>
    </row>
    <row r="971" spans="1:5" ht="14.25" customHeight="1" x14ac:dyDescent="0.3">
      <c r="A971" s="14"/>
      <c r="B971" s="14"/>
      <c r="C971" s="14"/>
      <c r="D971" s="14"/>
      <c r="E971" s="15"/>
    </row>
    <row r="972" spans="1:5" ht="14.25" customHeight="1" x14ac:dyDescent="0.3">
      <c r="A972" s="14"/>
      <c r="B972" s="14"/>
      <c r="C972" s="14"/>
      <c r="D972" s="14"/>
      <c r="E972" s="15"/>
    </row>
    <row r="973" spans="1:5" ht="14.25" customHeight="1" x14ac:dyDescent="0.3">
      <c r="A973" s="14"/>
      <c r="B973" s="14"/>
      <c r="C973" s="14"/>
      <c r="D973" s="14"/>
      <c r="E973" s="15"/>
    </row>
    <row r="974" spans="1:5" ht="14.25" customHeight="1" x14ac:dyDescent="0.3">
      <c r="A974" s="14"/>
      <c r="B974" s="14"/>
      <c r="C974" s="14"/>
      <c r="D974" s="14"/>
      <c r="E974" s="15"/>
    </row>
    <row r="975" spans="1:5" ht="14.25" customHeight="1" x14ac:dyDescent="0.3">
      <c r="A975" s="14"/>
      <c r="B975" s="14"/>
      <c r="C975" s="14"/>
      <c r="D975" s="14"/>
      <c r="E975" s="15"/>
    </row>
    <row r="976" spans="1:5" ht="14.25" customHeight="1" x14ac:dyDescent="0.3">
      <c r="A976" s="14"/>
      <c r="B976" s="14"/>
      <c r="C976" s="14"/>
      <c r="D976" s="14"/>
      <c r="E976" s="15"/>
    </row>
    <row r="977" spans="1:5" ht="14.25" customHeight="1" x14ac:dyDescent="0.3">
      <c r="A977" s="14"/>
      <c r="B977" s="14"/>
      <c r="C977" s="14"/>
      <c r="D977" s="14"/>
      <c r="E977" s="15"/>
    </row>
    <row r="978" spans="1:5" ht="14.25" customHeight="1" x14ac:dyDescent="0.3">
      <c r="A978" s="14"/>
      <c r="B978" s="14"/>
      <c r="C978" s="14"/>
      <c r="D978" s="14"/>
      <c r="E978" s="15"/>
    </row>
    <row r="979" spans="1:5" ht="14.25" customHeight="1" x14ac:dyDescent="0.3">
      <c r="A979" s="14"/>
      <c r="B979" s="14"/>
      <c r="C979" s="14"/>
      <c r="D979" s="14"/>
      <c r="E979" s="15"/>
    </row>
    <row r="980" spans="1:5" ht="14.25" customHeight="1" x14ac:dyDescent="0.3">
      <c r="A980" s="14"/>
      <c r="B980" s="14"/>
      <c r="C980" s="14"/>
      <c r="D980" s="14"/>
      <c r="E980" s="15"/>
    </row>
    <row r="981" spans="1:5" ht="14.25" customHeight="1" x14ac:dyDescent="0.3">
      <c r="A981" s="14"/>
      <c r="B981" s="14"/>
      <c r="C981" s="14"/>
      <c r="D981" s="14"/>
      <c r="E981" s="15"/>
    </row>
    <row r="982" spans="1:5" ht="14.25" customHeight="1" x14ac:dyDescent="0.3">
      <c r="A982" s="14"/>
      <c r="B982" s="14"/>
      <c r="C982" s="14"/>
      <c r="D982" s="14"/>
      <c r="E982" s="15"/>
    </row>
    <row r="983" spans="1:5" ht="14.25" customHeight="1" x14ac:dyDescent="0.3">
      <c r="A983" s="14"/>
      <c r="B983" s="14"/>
      <c r="C983" s="14"/>
      <c r="D983" s="14"/>
      <c r="E983" s="15"/>
    </row>
    <row r="984" spans="1:5" ht="14.25" customHeight="1" x14ac:dyDescent="0.3">
      <c r="A984" s="14"/>
      <c r="B984" s="14"/>
      <c r="C984" s="14"/>
      <c r="D984" s="14"/>
      <c r="E984" s="15"/>
    </row>
    <row r="985" spans="1:5" ht="14.25" customHeight="1" x14ac:dyDescent="0.3">
      <c r="A985" s="14"/>
      <c r="B985" s="14"/>
      <c r="C985" s="14"/>
      <c r="D985" s="14"/>
      <c r="E985" s="15"/>
    </row>
    <row r="986" spans="1:5" ht="14.25" customHeight="1" x14ac:dyDescent="0.3">
      <c r="A986" s="14"/>
      <c r="B986" s="14"/>
      <c r="C986" s="14"/>
      <c r="D986" s="14"/>
      <c r="E986" s="15"/>
    </row>
    <row r="987" spans="1:5" ht="14.25" customHeight="1" x14ac:dyDescent="0.3">
      <c r="A987" s="14"/>
      <c r="B987" s="14"/>
      <c r="C987" s="14"/>
      <c r="D987" s="14"/>
      <c r="E987" s="15"/>
    </row>
    <row r="988" spans="1:5" ht="14.25" customHeight="1" x14ac:dyDescent="0.3">
      <c r="A988" s="14"/>
      <c r="B988" s="14"/>
      <c r="C988" s="14"/>
      <c r="D988" s="14"/>
      <c r="E988" s="15"/>
    </row>
    <row r="989" spans="1:5" ht="14.25" customHeight="1" x14ac:dyDescent="0.3">
      <c r="A989" s="14"/>
      <c r="B989" s="14"/>
      <c r="C989" s="14"/>
      <c r="D989" s="14"/>
      <c r="E989" s="15"/>
    </row>
    <row r="990" spans="1:5" ht="14.25" customHeight="1" x14ac:dyDescent="0.3">
      <c r="A990" s="14"/>
      <c r="B990" s="14"/>
      <c r="C990" s="14"/>
      <c r="D990" s="14"/>
      <c r="E990" s="15"/>
    </row>
    <row r="991" spans="1:5" ht="14.25" customHeight="1" x14ac:dyDescent="0.3">
      <c r="A991" s="14"/>
      <c r="B991" s="14"/>
      <c r="C991" s="14"/>
      <c r="D991" s="14"/>
      <c r="E991" s="15"/>
    </row>
    <row r="992" spans="1:5" ht="14.25" customHeight="1" x14ac:dyDescent="0.3">
      <c r="A992" s="14"/>
      <c r="B992" s="14"/>
      <c r="C992" s="14"/>
      <c r="D992" s="14"/>
      <c r="E992" s="15"/>
    </row>
    <row r="993" spans="1:5" ht="14.25" customHeight="1" x14ac:dyDescent="0.3">
      <c r="A993" s="14"/>
      <c r="B993" s="14"/>
      <c r="C993" s="14"/>
      <c r="D993" s="14"/>
      <c r="E993" s="15"/>
    </row>
    <row r="994" spans="1:5" ht="14.25" customHeight="1" x14ac:dyDescent="0.3">
      <c r="A994" s="14"/>
      <c r="B994" s="14"/>
      <c r="C994" s="14"/>
      <c r="D994" s="14"/>
      <c r="E994" s="15"/>
    </row>
    <row r="995" spans="1:5" ht="14.25" customHeight="1" x14ac:dyDescent="0.3">
      <c r="A995" s="14"/>
      <c r="B995" s="14"/>
      <c r="C995" s="14"/>
      <c r="D995" s="14"/>
      <c r="E995" s="15"/>
    </row>
    <row r="996" spans="1:5" ht="14.25" customHeight="1" x14ac:dyDescent="0.3">
      <c r="A996" s="14"/>
      <c r="B996" s="14"/>
      <c r="C996" s="14"/>
      <c r="D996" s="14"/>
      <c r="E996" s="15"/>
    </row>
    <row r="997" spans="1:5" ht="14.25" customHeight="1" x14ac:dyDescent="0.3">
      <c r="A997" s="14"/>
      <c r="B997" s="14"/>
      <c r="C997" s="14"/>
      <c r="D997" s="14"/>
      <c r="E997" s="15"/>
    </row>
    <row r="998" spans="1:5" ht="14.25" customHeight="1" x14ac:dyDescent="0.3">
      <c r="A998" s="14"/>
      <c r="B998" s="14"/>
      <c r="C998" s="14"/>
      <c r="D998" s="14"/>
      <c r="E998" s="15"/>
    </row>
    <row r="999" spans="1:5" ht="14.25" customHeight="1" x14ac:dyDescent="0.3">
      <c r="A999" s="14"/>
      <c r="B999" s="14"/>
      <c r="C999" s="14"/>
      <c r="D999" s="14"/>
      <c r="E999" s="15"/>
    </row>
    <row r="1000" spans="1:5" ht="14.25" customHeight="1" x14ac:dyDescent="0.3">
      <c r="A1000" s="14"/>
      <c r="B1000" s="14"/>
      <c r="C1000" s="14"/>
      <c r="D1000" s="14"/>
      <c r="E1000" s="15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00"/>
  <sheetViews>
    <sheetView tabSelected="1" topLeftCell="R17" zoomScaleNormal="100" workbookViewId="0">
      <selection activeCell="AE28" sqref="AE28"/>
    </sheetView>
  </sheetViews>
  <sheetFormatPr defaultColWidth="14.44140625" defaultRowHeight="14.4" x14ac:dyDescent="0.3"/>
  <cols>
    <col min="1" max="1" width="11.88671875" customWidth="1"/>
    <col min="2" max="2" width="5.109375" customWidth="1"/>
    <col min="3" max="6" width="8.6640625" customWidth="1"/>
    <col min="7" max="7" width="16" customWidth="1"/>
    <col min="8" max="13" width="8.6640625" customWidth="1"/>
    <col min="14" max="14" width="9.5546875" customWidth="1"/>
    <col min="16" max="17" width="14.109375" customWidth="1"/>
    <col min="18" max="18" width="18.5546875" customWidth="1"/>
    <col min="19" max="24" width="8.6640625" customWidth="1"/>
  </cols>
  <sheetData>
    <row r="1" spans="1:28" ht="14.25" customHeight="1" x14ac:dyDescent="0.3">
      <c r="A1" s="16"/>
      <c r="B1" s="16"/>
      <c r="C1" s="16"/>
      <c r="D1" s="17"/>
      <c r="I1" s="16"/>
      <c r="P1" s="18"/>
      <c r="Q1" s="18"/>
      <c r="R1" s="18"/>
    </row>
    <row r="2" spans="1:28" ht="14.25" customHeight="1" x14ac:dyDescent="0.3">
      <c r="A2" s="16"/>
      <c r="B2" s="16"/>
      <c r="C2" s="16"/>
      <c r="D2" s="17"/>
      <c r="G2" s="19" t="s">
        <v>2</v>
      </c>
      <c r="I2" s="9" t="s">
        <v>3</v>
      </c>
      <c r="J2" s="9"/>
      <c r="K2" s="8">
        <v>0.1</v>
      </c>
      <c r="L2" s="8"/>
      <c r="P2" s="18"/>
      <c r="Q2" s="18"/>
      <c r="R2" s="18"/>
    </row>
    <row r="3" spans="1:28" ht="14.25" customHeight="1" x14ac:dyDescent="0.3">
      <c r="C3" s="16"/>
      <c r="G3" s="20" t="s">
        <v>4</v>
      </c>
      <c r="H3" s="21" t="s">
        <v>5</v>
      </c>
      <c r="I3" s="7" t="s">
        <v>6</v>
      </c>
      <c r="J3" s="7"/>
      <c r="K3" s="7"/>
      <c r="L3" s="7"/>
      <c r="M3" s="7"/>
      <c r="N3" s="22" t="s">
        <v>7</v>
      </c>
      <c r="O3" s="23" t="s">
        <v>8</v>
      </c>
      <c r="P3" s="6" t="s">
        <v>9</v>
      </c>
      <c r="Q3" s="6" t="s">
        <v>10</v>
      </c>
      <c r="R3" s="5" t="s">
        <v>11</v>
      </c>
      <c r="S3" s="21" t="s">
        <v>12</v>
      </c>
      <c r="Z3" s="21" t="s">
        <v>13</v>
      </c>
      <c r="AA3" s="21" t="s">
        <v>43</v>
      </c>
      <c r="AB3" s="21" t="s">
        <v>44</v>
      </c>
    </row>
    <row r="4" spans="1:28" ht="14.25" customHeight="1" x14ac:dyDescent="0.3">
      <c r="A4" s="25" t="s">
        <v>15</v>
      </c>
      <c r="B4" s="26" t="s">
        <v>16</v>
      </c>
      <c r="C4" s="24" t="s">
        <v>17</v>
      </c>
      <c r="D4" s="24" t="s">
        <v>18</v>
      </c>
      <c r="E4" s="24" t="s">
        <v>19</v>
      </c>
      <c r="F4" s="24" t="s">
        <v>20</v>
      </c>
      <c r="G4" s="27" t="s">
        <v>21</v>
      </c>
      <c r="I4" s="28" t="s">
        <v>22</v>
      </c>
      <c r="J4" s="29" t="s">
        <v>23</v>
      </c>
      <c r="K4" s="30" t="s">
        <v>24</v>
      </c>
      <c r="L4" s="30" t="s">
        <v>25</v>
      </c>
      <c r="M4" s="30" t="s">
        <v>26</v>
      </c>
      <c r="N4" s="30" t="s">
        <v>27</v>
      </c>
      <c r="O4" s="30" t="s">
        <v>28</v>
      </c>
      <c r="P4" s="6"/>
      <c r="Q4" s="6"/>
      <c r="R4" s="5"/>
      <c r="T4" s="31" t="s">
        <v>29</v>
      </c>
      <c r="U4" s="31" t="s">
        <v>30</v>
      </c>
      <c r="V4" s="31" t="s">
        <v>31</v>
      </c>
      <c r="W4" s="31" t="s">
        <v>32</v>
      </c>
      <c r="X4" s="31" t="s">
        <v>33</v>
      </c>
      <c r="Z4">
        <v>1</v>
      </c>
      <c r="AA4">
        <f>S84</f>
        <v>0.12996490026568225</v>
      </c>
      <c r="AB4">
        <f>H84</f>
        <v>0.85</v>
      </c>
    </row>
    <row r="5" spans="1:28" ht="14.25" customHeight="1" x14ac:dyDescent="0.3">
      <c r="A5" s="4" t="s">
        <v>34</v>
      </c>
      <c r="B5" s="32">
        <v>1</v>
      </c>
      <c r="C5" s="10">
        <v>5.0999999999999996</v>
      </c>
      <c r="D5" s="11">
        <v>3.5</v>
      </c>
      <c r="E5" s="11">
        <v>1.4</v>
      </c>
      <c r="F5" s="11">
        <v>0.2</v>
      </c>
      <c r="G5" s="33">
        <v>0</v>
      </c>
      <c r="I5" s="34">
        <v>0.5</v>
      </c>
      <c r="J5" s="34">
        <v>0.5</v>
      </c>
      <c r="K5" s="34">
        <v>0.5</v>
      </c>
      <c r="L5" s="34">
        <v>0.5</v>
      </c>
      <c r="M5" s="34">
        <v>0.5</v>
      </c>
      <c r="N5" s="35">
        <f t="shared" ref="N5:N36" si="0">I5+J5*C5+K5*D5+L5*E5+F5*M5</f>
        <v>5.6</v>
      </c>
      <c r="O5" s="35">
        <f t="shared" ref="O5:O36" si="1">1/(1+EXP(-N5))</f>
        <v>0.99631576010056411</v>
      </c>
      <c r="P5" s="36">
        <f t="shared" ref="P5:P36" si="2">IF(O5&gt;0.5,1,0)</f>
        <v>1</v>
      </c>
      <c r="Q5" s="36">
        <f t="shared" ref="Q5:Q36" si="3">O5-G5</f>
        <v>0.99631576010056411</v>
      </c>
      <c r="R5" s="37">
        <f t="shared" ref="R5:R36" si="4">Q5^2</f>
        <v>0.99264509382476485</v>
      </c>
      <c r="T5" s="31">
        <f t="shared" ref="T5:T36" si="5">2*(O5-G5)*(1-O5)*O5</f>
        <v>7.3142853212969676E-3</v>
      </c>
      <c r="U5" s="31">
        <f>2*(O5-G5)*(1-O5)*O5*C5</f>
        <v>3.7302855138614532E-2</v>
      </c>
      <c r="V5" s="31">
        <f t="shared" ref="V5:V36" si="6">2*(O5-G5)*(1-O5)*O5*D5</f>
        <v>2.5599998624539388E-2</v>
      </c>
      <c r="W5" s="31">
        <f t="shared" ref="W5:W36" si="7">2*(O5-G5)*(1-O5)*O5*E5</f>
        <v>1.0239999449815754E-2</v>
      </c>
      <c r="X5" s="31">
        <f t="shared" ref="X5:X36" si="8">2*(O5-G5)*(1-O5)*O5*F5</f>
        <v>1.4628570642593935E-3</v>
      </c>
      <c r="Z5">
        <v>2</v>
      </c>
      <c r="AA5">
        <f>S164</f>
        <v>3.4548306492121227E-2</v>
      </c>
      <c r="AB5">
        <f>H164</f>
        <v>0.95</v>
      </c>
    </row>
    <row r="6" spans="1:28" ht="14.25" customHeight="1" x14ac:dyDescent="0.3">
      <c r="A6" s="4"/>
      <c r="B6" s="38">
        <v>2</v>
      </c>
      <c r="C6" s="10">
        <v>4.9000000000000004</v>
      </c>
      <c r="D6" s="11">
        <v>3</v>
      </c>
      <c r="E6" s="11">
        <v>1.4</v>
      </c>
      <c r="F6" s="11">
        <v>0.2</v>
      </c>
      <c r="G6" s="39">
        <v>0</v>
      </c>
      <c r="I6" s="38">
        <f>I5-K2*T5</f>
        <v>0.49926857146787029</v>
      </c>
      <c r="J6" s="40">
        <f>J5-K2*U5</f>
        <v>0.49626971448613855</v>
      </c>
      <c r="K6" s="40">
        <f>K5-K2*V5</f>
        <v>0.49744000013754608</v>
      </c>
      <c r="L6" s="40">
        <f>L5-K2*W5</f>
        <v>0.49897600005501841</v>
      </c>
      <c r="M6" s="40">
        <f>M5-K2*X5</f>
        <v>0.49985371429357406</v>
      </c>
      <c r="N6" s="35">
        <f t="shared" si="0"/>
        <v>5.2218473157983274</v>
      </c>
      <c r="O6" s="35">
        <f t="shared" si="1"/>
        <v>0.99463162568864605</v>
      </c>
      <c r="P6" s="36">
        <f t="shared" si="2"/>
        <v>1</v>
      </c>
      <c r="Q6" s="36">
        <f t="shared" si="3"/>
        <v>0.99463162568864605</v>
      </c>
      <c r="R6" s="37">
        <f t="shared" si="4"/>
        <v>0.98929207082003889</v>
      </c>
      <c r="T6" s="31">
        <f t="shared" si="5"/>
        <v>1.0621780278832902E-2</v>
      </c>
      <c r="U6" s="31">
        <f>2*(O6-G6)*(1-O6)*O6*C6</f>
        <v>5.2046723366281224E-2</v>
      </c>
      <c r="V6" s="31">
        <f t="shared" si="6"/>
        <v>3.186534083649871E-2</v>
      </c>
      <c r="W6" s="31">
        <f t="shared" si="7"/>
        <v>1.4870492390366061E-2</v>
      </c>
      <c r="X6" s="31">
        <f t="shared" si="8"/>
        <v>2.1243560557665806E-3</v>
      </c>
      <c r="Z6">
        <v>3</v>
      </c>
      <c r="AA6">
        <f>S244</f>
        <v>2.2989957133828679E-2</v>
      </c>
      <c r="AB6">
        <f>H244</f>
        <v>0.97499999999999998</v>
      </c>
    </row>
    <row r="7" spans="1:28" ht="14.25" customHeight="1" x14ac:dyDescent="0.3">
      <c r="A7" s="4"/>
      <c r="B7" s="32">
        <v>3</v>
      </c>
      <c r="C7" s="10">
        <v>4.7</v>
      </c>
      <c r="D7" s="11">
        <v>3.2</v>
      </c>
      <c r="E7" s="11">
        <v>1.3</v>
      </c>
      <c r="F7" s="11">
        <v>0.2</v>
      </c>
      <c r="G7" s="39">
        <v>0</v>
      </c>
      <c r="I7" s="38">
        <f>I6-K2*T6</f>
        <v>0.49820639343998702</v>
      </c>
      <c r="J7" s="40">
        <f>J6-K2*U6</f>
        <v>0.49106504214951041</v>
      </c>
      <c r="K7" s="40">
        <f>K6-K2*V6</f>
        <v>0.4942534660538962</v>
      </c>
      <c r="L7" s="40">
        <f>L6-K2*W6</f>
        <v>0.49748895081598182</v>
      </c>
      <c r="M7" s="40">
        <f>M6-K2*X6</f>
        <v>0.4996412786879974</v>
      </c>
      <c r="N7" s="35">
        <f t="shared" si="0"/>
        <v>5.1344870747135296</v>
      </c>
      <c r="O7" s="35">
        <f t="shared" si="1"/>
        <v>0.99414441790221386</v>
      </c>
      <c r="P7" s="36">
        <f t="shared" si="2"/>
        <v>1</v>
      </c>
      <c r="Q7" s="36">
        <f t="shared" si="3"/>
        <v>0.99414441790221386</v>
      </c>
      <c r="R7" s="37">
        <f t="shared" si="4"/>
        <v>0.98832312364613162</v>
      </c>
      <c r="T7" s="31">
        <f t="shared" si="5"/>
        <v>1.157441437930073E-2</v>
      </c>
      <c r="U7" s="31">
        <f>2*(O7-G7)*(1-O7)*O7*C7</f>
        <v>5.4399747582713431E-2</v>
      </c>
      <c r="V7" s="31">
        <f t="shared" si="6"/>
        <v>3.7038126013762336E-2</v>
      </c>
      <c r="W7" s="31">
        <f t="shared" si="7"/>
        <v>1.504673869309095E-2</v>
      </c>
      <c r="X7" s="31">
        <f t="shared" si="8"/>
        <v>2.314882875860146E-3</v>
      </c>
      <c r="Z7">
        <v>4</v>
      </c>
      <c r="AA7">
        <f>S324</f>
        <v>1.6535226737225964E-2</v>
      </c>
      <c r="AB7">
        <f>H324</f>
        <v>0.97499999999999998</v>
      </c>
    </row>
    <row r="8" spans="1:28" ht="14.25" customHeight="1" x14ac:dyDescent="0.3">
      <c r="A8" s="4"/>
      <c r="B8" s="38">
        <v>4</v>
      </c>
      <c r="C8" s="10">
        <v>4.5999999999999996</v>
      </c>
      <c r="D8" s="11">
        <v>3.1</v>
      </c>
      <c r="E8" s="11">
        <v>1.5</v>
      </c>
      <c r="F8" s="11">
        <v>0.2</v>
      </c>
      <c r="G8" s="39">
        <v>0</v>
      </c>
      <c r="I8" s="38">
        <f>I7-K2*T7</f>
        <v>0.49704895200205695</v>
      </c>
      <c r="J8" s="40">
        <f>J7-K2*U7</f>
        <v>0.48562506739123906</v>
      </c>
      <c r="K8" s="40">
        <f>K7-K2*V7</f>
        <v>0.49054965345251994</v>
      </c>
      <c r="L8" s="40">
        <f>L7-K2*W7</f>
        <v>0.49598427694667274</v>
      </c>
      <c r="M8" s="40">
        <f>M7-K2*X7</f>
        <v>0.49940979040041139</v>
      </c>
      <c r="N8" s="35">
        <f t="shared" si="0"/>
        <v>5.0954865612046607</v>
      </c>
      <c r="O8" s="35">
        <f t="shared" si="1"/>
        <v>0.99391295301012028</v>
      </c>
      <c r="P8" s="36">
        <f t="shared" si="2"/>
        <v>1</v>
      </c>
      <c r="Q8" s="36">
        <f t="shared" si="3"/>
        <v>0.99391295301012028</v>
      </c>
      <c r="R8" s="37">
        <f t="shared" si="4"/>
        <v>0.98786295816129754</v>
      </c>
      <c r="T8" s="31">
        <f t="shared" si="5"/>
        <v>1.2026336491778802E-2</v>
      </c>
      <c r="U8">
        <v>5</v>
      </c>
      <c r="V8" s="31">
        <f t="shared" si="6"/>
        <v>3.7281643124514284E-2</v>
      </c>
      <c r="W8" s="31">
        <f t="shared" si="7"/>
        <v>1.8039504737668202E-2</v>
      </c>
      <c r="X8" s="31">
        <f t="shared" si="8"/>
        <v>2.4052672983557607E-3</v>
      </c>
      <c r="Z8">
        <v>5</v>
      </c>
      <c r="AA8">
        <f>S404</f>
        <v>1.2222388106167001E-2</v>
      </c>
      <c r="AB8">
        <f>H404</f>
        <v>0.98750000000000004</v>
      </c>
    </row>
    <row r="9" spans="1:28" ht="14.25" customHeight="1" x14ac:dyDescent="0.3">
      <c r="A9" s="4"/>
      <c r="B9" s="32">
        <v>5</v>
      </c>
      <c r="C9" s="10">
        <v>5</v>
      </c>
      <c r="D9" s="11">
        <v>3.6</v>
      </c>
      <c r="E9" s="11">
        <v>1.4</v>
      </c>
      <c r="F9" s="11">
        <v>0.2</v>
      </c>
      <c r="G9" s="39">
        <v>0</v>
      </c>
      <c r="I9" s="38">
        <f>I8-K2*T8</f>
        <v>0.49584631835287907</v>
      </c>
      <c r="J9" s="40">
        <f>J8-K2*U8</f>
        <v>-1.4374932608760937E-2</v>
      </c>
      <c r="K9" s="40">
        <f>K8-K2*V8</f>
        <v>0.48682148914006851</v>
      </c>
      <c r="L9" s="40">
        <f>L8-K2*W8</f>
        <v>0.49418032647290594</v>
      </c>
      <c r="M9" s="40">
        <f>M8-K2*X8</f>
        <v>0.49916926367057579</v>
      </c>
      <c r="N9" s="35">
        <f t="shared" si="0"/>
        <v>2.9682153260095041</v>
      </c>
      <c r="O9" s="35">
        <f t="shared" si="1"/>
        <v>0.95111736871108599</v>
      </c>
      <c r="P9" s="36">
        <f t="shared" si="2"/>
        <v>1</v>
      </c>
      <c r="Q9" s="36">
        <f t="shared" si="3"/>
        <v>0.95111736871108599</v>
      </c>
      <c r="R9" s="37">
        <f t="shared" si="4"/>
        <v>0.90462424906389993</v>
      </c>
      <c r="T9" s="31">
        <f t="shared" si="5"/>
        <v>8.8440827244002665E-2</v>
      </c>
      <c r="U9" s="31">
        <f t="shared" ref="U9:U40" si="9">2*(O9-G9)*(1-O9)*O9*C9</f>
        <v>0.44220413622001331</v>
      </c>
      <c r="V9" s="31">
        <f t="shared" si="6"/>
        <v>0.3183869780784096</v>
      </c>
      <c r="W9" s="31">
        <f t="shared" si="7"/>
        <v>0.12381715814160373</v>
      </c>
      <c r="X9" s="31">
        <f t="shared" si="8"/>
        <v>1.7688165448800534E-2</v>
      </c>
    </row>
    <row r="10" spans="1:28" ht="14.25" customHeight="1" x14ac:dyDescent="0.3">
      <c r="A10" s="4"/>
      <c r="B10" s="38">
        <v>6</v>
      </c>
      <c r="C10" s="10">
        <v>5.4</v>
      </c>
      <c r="D10" s="11">
        <v>3.9</v>
      </c>
      <c r="E10" s="11">
        <v>1.7</v>
      </c>
      <c r="F10" s="11">
        <v>0.4</v>
      </c>
      <c r="G10" s="39">
        <v>0</v>
      </c>
      <c r="I10" s="38">
        <f>I9-K2*T9</f>
        <v>0.48700223562847877</v>
      </c>
      <c r="J10" s="40">
        <f>J9-K2*U9</f>
        <v>-5.859534623076227E-2</v>
      </c>
      <c r="K10" s="40">
        <f>K9-K2*V9</f>
        <v>0.45498279133222752</v>
      </c>
      <c r="L10" s="40">
        <f>L9-K2*W9</f>
        <v>0.48179861065874557</v>
      </c>
      <c r="M10" s="40">
        <f>M9-K2*X9</f>
        <v>0.49740044712569575</v>
      </c>
      <c r="N10" s="35">
        <f t="shared" si="0"/>
        <v>2.9630380691481952</v>
      </c>
      <c r="O10" s="35">
        <f t="shared" si="1"/>
        <v>0.95087609892954772</v>
      </c>
      <c r="P10" s="36">
        <f t="shared" si="2"/>
        <v>1</v>
      </c>
      <c r="Q10" s="36">
        <f t="shared" si="3"/>
        <v>0.95087609892954772</v>
      </c>
      <c r="R10" s="37">
        <f t="shared" si="4"/>
        <v>0.90416535551547506</v>
      </c>
      <c r="T10" s="31">
        <f t="shared" si="5"/>
        <v>8.8832258951345028E-2</v>
      </c>
      <c r="U10" s="31">
        <f t="shared" si="9"/>
        <v>0.47969419833726318</v>
      </c>
      <c r="V10" s="31">
        <f t="shared" si="6"/>
        <v>0.34644580991024559</v>
      </c>
      <c r="W10" s="31">
        <f t="shared" si="7"/>
        <v>0.15101484021728653</v>
      </c>
      <c r="X10" s="31">
        <f t="shared" si="8"/>
        <v>3.5532903580538011E-2</v>
      </c>
    </row>
    <row r="11" spans="1:28" ht="14.25" customHeight="1" x14ac:dyDescent="0.3">
      <c r="A11" s="4"/>
      <c r="B11" s="32">
        <v>7</v>
      </c>
      <c r="C11" s="10">
        <v>4.5999999999999996</v>
      </c>
      <c r="D11" s="11">
        <v>3.4</v>
      </c>
      <c r="E11" s="11">
        <v>1.4</v>
      </c>
      <c r="F11" s="11">
        <v>0.3</v>
      </c>
      <c r="G11" s="39">
        <v>0</v>
      </c>
      <c r="I11" s="38">
        <f>I10-K2*T10</f>
        <v>0.47811900973334426</v>
      </c>
      <c r="J11" s="40">
        <f>J10-K2*U10</f>
        <v>-0.10656476606448859</v>
      </c>
      <c r="K11" s="40">
        <f>K10-K2*V10</f>
        <v>0.42033821034120294</v>
      </c>
      <c r="L11" s="40">
        <f>L10-K2*W10</f>
        <v>0.4666971266370169</v>
      </c>
      <c r="M11" s="40">
        <f>M10-K2*X10</f>
        <v>0.49384715676764196</v>
      </c>
      <c r="N11" s="35">
        <f t="shared" si="0"/>
        <v>2.2186011253189029</v>
      </c>
      <c r="O11" s="35">
        <f t="shared" si="1"/>
        <v>0.90190750632149852</v>
      </c>
      <c r="P11" s="36">
        <f t="shared" si="2"/>
        <v>1</v>
      </c>
      <c r="Q11" s="36">
        <f t="shared" si="3"/>
        <v>0.90190750632149852</v>
      </c>
      <c r="R11" s="37">
        <f t="shared" si="4"/>
        <v>0.81343714995906391</v>
      </c>
      <c r="T11" s="31">
        <f t="shared" si="5"/>
        <v>0.15958415698043546</v>
      </c>
      <c r="U11" s="31">
        <f t="shared" si="9"/>
        <v>0.73408712211000304</v>
      </c>
      <c r="V11" s="31">
        <f t="shared" si="6"/>
        <v>0.54258613373348052</v>
      </c>
      <c r="W11" s="31">
        <f t="shared" si="7"/>
        <v>0.22341781977260963</v>
      </c>
      <c r="X11" s="31">
        <f t="shared" si="8"/>
        <v>4.7875247094130637E-2</v>
      </c>
    </row>
    <row r="12" spans="1:28" ht="14.25" customHeight="1" x14ac:dyDescent="0.3">
      <c r="A12" s="4"/>
      <c r="B12" s="38">
        <v>8</v>
      </c>
      <c r="C12" s="10">
        <v>5</v>
      </c>
      <c r="D12" s="11">
        <v>3.4</v>
      </c>
      <c r="E12" s="11">
        <v>1.5</v>
      </c>
      <c r="F12" s="11">
        <v>0.2</v>
      </c>
      <c r="G12" s="39">
        <v>0</v>
      </c>
      <c r="I12" s="38">
        <f>I11-K2*T11</f>
        <v>0.46216059403530069</v>
      </c>
      <c r="J12" s="40">
        <f>J11-K2*U11</f>
        <v>-0.17997347827548887</v>
      </c>
      <c r="K12" s="40">
        <f>K11-K2*V11</f>
        <v>0.36607959696785486</v>
      </c>
      <c r="L12" s="40">
        <f>L11-K2*W11</f>
        <v>0.44435534465975596</v>
      </c>
      <c r="M12" s="40">
        <f>M11-K2*X11</f>
        <v>0.48905963205822889</v>
      </c>
      <c r="N12" s="35">
        <f t="shared" si="0"/>
        <v>1.5713087757498423</v>
      </c>
      <c r="O12" s="35">
        <f t="shared" si="1"/>
        <v>0.82797010456399789</v>
      </c>
      <c r="P12" s="36">
        <f t="shared" si="2"/>
        <v>1</v>
      </c>
      <c r="Q12" s="36">
        <f t="shared" si="3"/>
        <v>0.82797010456399789</v>
      </c>
      <c r="R12" s="37">
        <f t="shared" si="4"/>
        <v>0.68553449405171762</v>
      </c>
      <c r="T12" s="31">
        <f t="shared" si="5"/>
        <v>0.23586485465897919</v>
      </c>
      <c r="U12" s="31">
        <f t="shared" si="9"/>
        <v>1.1793242732948959</v>
      </c>
      <c r="V12" s="31">
        <f t="shared" si="6"/>
        <v>0.80194050584052923</v>
      </c>
      <c r="W12" s="31">
        <f t="shared" si="7"/>
        <v>0.35379728198846877</v>
      </c>
      <c r="X12" s="31">
        <f t="shared" si="8"/>
        <v>4.7172970931795843E-2</v>
      </c>
    </row>
    <row r="13" spans="1:28" ht="14.25" customHeight="1" x14ac:dyDescent="0.3">
      <c r="A13" s="4"/>
      <c r="B13" s="32">
        <v>9</v>
      </c>
      <c r="C13" s="10">
        <v>4.4000000000000004</v>
      </c>
      <c r="D13" s="11">
        <v>2.9</v>
      </c>
      <c r="E13" s="11">
        <v>1.4</v>
      </c>
      <c r="F13" s="11">
        <v>0.2</v>
      </c>
      <c r="G13" s="39">
        <v>0</v>
      </c>
      <c r="I13" s="38">
        <f>I12-K2*T12</f>
        <v>0.43857410856940277</v>
      </c>
      <c r="J13" s="40">
        <f>J12-K2*U12</f>
        <v>-0.29790590560497848</v>
      </c>
      <c r="K13" s="40">
        <f>K12-K2*V12</f>
        <v>0.28588554638380193</v>
      </c>
      <c r="L13" s="40">
        <f>L12-K2*W12</f>
        <v>0.40897561646090907</v>
      </c>
      <c r="M13" s="40">
        <f>M12-K2*X12</f>
        <v>0.4843423349650493</v>
      </c>
      <c r="N13" s="35">
        <f t="shared" si="0"/>
        <v>0.62629053845880556</v>
      </c>
      <c r="O13" s="35">
        <f t="shared" si="1"/>
        <v>0.65164787797021406</v>
      </c>
      <c r="P13" s="36">
        <f t="shared" si="2"/>
        <v>1</v>
      </c>
      <c r="Q13" s="36">
        <f t="shared" si="3"/>
        <v>0.65164787797021406</v>
      </c>
      <c r="R13" s="37">
        <f t="shared" si="4"/>
        <v>0.42464495686308301</v>
      </c>
      <c r="T13" s="31">
        <f t="shared" si="5"/>
        <v>0.29585194366500378</v>
      </c>
      <c r="U13" s="31">
        <f t="shared" si="9"/>
        <v>1.3017485521260168</v>
      </c>
      <c r="V13" s="31">
        <f t="shared" si="6"/>
        <v>0.85797063662851092</v>
      </c>
      <c r="W13" s="31">
        <f t="shared" si="7"/>
        <v>0.41419272113100525</v>
      </c>
      <c r="X13" s="31">
        <f t="shared" si="8"/>
        <v>5.9170388733000762E-2</v>
      </c>
    </row>
    <row r="14" spans="1:28" ht="14.25" customHeight="1" x14ac:dyDescent="0.3">
      <c r="A14" s="4"/>
      <c r="B14" s="38">
        <v>10</v>
      </c>
      <c r="C14" s="10">
        <v>4.9000000000000004</v>
      </c>
      <c r="D14" s="11">
        <v>3.1</v>
      </c>
      <c r="E14" s="11">
        <v>1.5</v>
      </c>
      <c r="F14" s="11">
        <v>0.1</v>
      </c>
      <c r="G14" s="39">
        <v>0</v>
      </c>
      <c r="I14" s="38">
        <f>I13-K2*T13</f>
        <v>0.4089889142029024</v>
      </c>
      <c r="J14" s="40">
        <f>J13-K2*U13</f>
        <v>-0.42808076081758017</v>
      </c>
      <c r="K14" s="40">
        <f>K13-K2*V13</f>
        <v>0.20008848272095081</v>
      </c>
      <c r="L14" s="40">
        <f>L13-K2*W13</f>
        <v>0.36755634434780854</v>
      </c>
      <c r="M14" s="40">
        <f>M13-K2*X13</f>
        <v>0.47842529609174922</v>
      </c>
      <c r="N14" s="35">
        <f t="shared" si="0"/>
        <v>-0.4691554712374052</v>
      </c>
      <c r="O14" s="35">
        <f t="shared" si="1"/>
        <v>0.38481615170889033</v>
      </c>
      <c r="P14" s="36">
        <f t="shared" si="2"/>
        <v>0</v>
      </c>
      <c r="Q14" s="36">
        <f t="shared" si="3"/>
        <v>0.38481615170889033</v>
      </c>
      <c r="R14" s="37">
        <f t="shared" si="4"/>
        <v>0.14808347061603969</v>
      </c>
      <c r="T14" s="31">
        <f t="shared" si="5"/>
        <v>0.18219711864375751</v>
      </c>
      <c r="U14" s="31">
        <f t="shared" si="9"/>
        <v>0.89276588135441182</v>
      </c>
      <c r="V14" s="31">
        <f t="shared" si="6"/>
        <v>0.56481106779564827</v>
      </c>
      <c r="W14" s="31">
        <f t="shared" si="7"/>
        <v>0.27329567796563625</v>
      </c>
      <c r="X14" s="31">
        <f t="shared" si="8"/>
        <v>1.8219711864375751E-2</v>
      </c>
    </row>
    <row r="15" spans="1:28" ht="14.25" customHeight="1" x14ac:dyDescent="0.3">
      <c r="A15" s="4"/>
      <c r="B15" s="32">
        <v>11</v>
      </c>
      <c r="C15" s="10">
        <v>5.4</v>
      </c>
      <c r="D15" s="11">
        <v>3.7</v>
      </c>
      <c r="E15" s="11">
        <v>1.5</v>
      </c>
      <c r="F15" s="11">
        <v>0.2</v>
      </c>
      <c r="G15" s="39">
        <v>0</v>
      </c>
      <c r="I15" s="38">
        <f>I14-K2*T14</f>
        <v>0.39076920233852663</v>
      </c>
      <c r="J15" s="40">
        <f>J14-K2*U14</f>
        <v>-0.51735734895302132</v>
      </c>
      <c r="K15" s="40">
        <f>K14-K2*V14</f>
        <v>0.14360737594138598</v>
      </c>
      <c r="L15" s="40">
        <f>L14-K2*W14</f>
        <v>0.34022677655124489</v>
      </c>
      <c r="M15" s="40">
        <f>M14-K2*X14</f>
        <v>0.47660332490531165</v>
      </c>
      <c r="N15" s="35">
        <f t="shared" si="0"/>
        <v>-1.2659523612167314</v>
      </c>
      <c r="O15" s="35">
        <f t="shared" si="1"/>
        <v>0.21995092840867692</v>
      </c>
      <c r="P15" s="36">
        <f t="shared" si="2"/>
        <v>0</v>
      </c>
      <c r="Q15" s="36">
        <f t="shared" si="3"/>
        <v>0.21995092840867692</v>
      </c>
      <c r="R15" s="37">
        <f t="shared" si="4"/>
        <v>4.8378410907838919E-2</v>
      </c>
      <c r="T15" s="31">
        <f t="shared" si="5"/>
        <v>7.5475069027446565E-2</v>
      </c>
      <c r="U15" s="31">
        <f t="shared" si="9"/>
        <v>0.40756537274821147</v>
      </c>
      <c r="V15" s="31">
        <f t="shared" si="6"/>
        <v>0.27925775540155229</v>
      </c>
      <c r="W15" s="31">
        <f t="shared" si="7"/>
        <v>0.11321260354116985</v>
      </c>
      <c r="X15" s="31">
        <f t="shared" si="8"/>
        <v>1.5095013805489313E-2</v>
      </c>
    </row>
    <row r="16" spans="1:28" ht="14.25" customHeight="1" x14ac:dyDescent="0.3">
      <c r="A16" s="4"/>
      <c r="B16" s="38">
        <v>12</v>
      </c>
      <c r="C16" s="10">
        <v>4.8</v>
      </c>
      <c r="D16" s="11">
        <v>3.4</v>
      </c>
      <c r="E16" s="11">
        <v>1.6</v>
      </c>
      <c r="F16" s="11">
        <v>0.2</v>
      </c>
      <c r="G16" s="39">
        <v>0</v>
      </c>
      <c r="I16" s="38">
        <f>I15-K2*T15</f>
        <v>0.38322169543578199</v>
      </c>
      <c r="J16" s="40">
        <f>J15-K2*U15</f>
        <v>-0.55811388622784253</v>
      </c>
      <c r="K16" s="40">
        <f>K15-K2*V15</f>
        <v>0.11568160040123075</v>
      </c>
      <c r="L16" s="40">
        <f>L15-K2*W15</f>
        <v>0.32890551619712793</v>
      </c>
      <c r="M16" s="40">
        <f>M15-K2*X15</f>
        <v>0.4750938235247627</v>
      </c>
      <c r="N16" s="35">
        <f t="shared" si="0"/>
        <v>-1.2811399264733201</v>
      </c>
      <c r="O16" s="35">
        <f t="shared" si="1"/>
        <v>0.21735624534818382</v>
      </c>
      <c r="P16" s="36">
        <f t="shared" si="2"/>
        <v>0</v>
      </c>
      <c r="Q16" s="36">
        <f t="shared" si="3"/>
        <v>0.21735624534818382</v>
      </c>
      <c r="R16" s="37">
        <f t="shared" si="4"/>
        <v>4.7243737391859879E-2</v>
      </c>
      <c r="T16" s="31">
        <f t="shared" si="5"/>
        <v>7.3950032032299232E-2</v>
      </c>
      <c r="U16" s="31">
        <f t="shared" si="9"/>
        <v>0.35496015375503631</v>
      </c>
      <c r="V16" s="31">
        <f t="shared" si="6"/>
        <v>0.25143010890981737</v>
      </c>
      <c r="W16" s="31">
        <f t="shared" si="7"/>
        <v>0.11832005125167877</v>
      </c>
      <c r="X16" s="31">
        <f t="shared" si="8"/>
        <v>1.4790006406459846E-2</v>
      </c>
    </row>
    <row r="17" spans="1:24" ht="14.25" customHeight="1" x14ac:dyDescent="0.3">
      <c r="A17" s="4"/>
      <c r="B17" s="32">
        <v>13</v>
      </c>
      <c r="C17" s="10">
        <v>4.8</v>
      </c>
      <c r="D17" s="11">
        <v>3</v>
      </c>
      <c r="E17" s="11">
        <v>1.4</v>
      </c>
      <c r="F17" s="11">
        <v>0.1</v>
      </c>
      <c r="G17" s="39">
        <v>0</v>
      </c>
      <c r="I17" s="38">
        <f>I16-K2*T16</f>
        <v>0.37582669223255205</v>
      </c>
      <c r="J17" s="40">
        <f>J16-K2*U16</f>
        <v>-0.59360990160334615</v>
      </c>
      <c r="K17" s="40">
        <f>K16-K2*V16</f>
        <v>9.0538589510249012E-2</v>
      </c>
      <c r="L17" s="40">
        <f>L16-K2*W16</f>
        <v>0.31707351107196008</v>
      </c>
      <c r="M17" s="40">
        <f>M16-K2*X16</f>
        <v>0.47361482288411672</v>
      </c>
      <c r="N17" s="35">
        <f t="shared" si="0"/>
        <v>-1.7106206691436061</v>
      </c>
      <c r="O17" s="35">
        <f t="shared" si="1"/>
        <v>0.15308322945600439</v>
      </c>
      <c r="P17" s="36">
        <f t="shared" si="2"/>
        <v>0</v>
      </c>
      <c r="Q17" s="36">
        <f t="shared" si="3"/>
        <v>0.15308322945600439</v>
      </c>
      <c r="R17" s="37">
        <f t="shared" si="4"/>
        <v>2.343447514067969E-2</v>
      </c>
      <c r="T17" s="31">
        <f t="shared" si="5"/>
        <v>3.9694100011075976E-2</v>
      </c>
      <c r="U17" s="31">
        <f t="shared" si="9"/>
        <v>0.19053168005316468</v>
      </c>
      <c r="V17" s="31">
        <f t="shared" si="6"/>
        <v>0.11908230003322792</v>
      </c>
      <c r="W17" s="31">
        <f t="shared" si="7"/>
        <v>5.5571740015506361E-2</v>
      </c>
      <c r="X17" s="31">
        <f t="shared" si="8"/>
        <v>3.969410001107598E-3</v>
      </c>
    </row>
    <row r="18" spans="1:24" ht="14.25" customHeight="1" x14ac:dyDescent="0.3">
      <c r="A18" s="4"/>
      <c r="B18" s="38">
        <v>14</v>
      </c>
      <c r="C18" s="10">
        <v>4.3</v>
      </c>
      <c r="D18" s="11">
        <v>3</v>
      </c>
      <c r="E18" s="11">
        <v>1.1000000000000001</v>
      </c>
      <c r="F18" s="11">
        <v>0.1</v>
      </c>
      <c r="G18" s="39">
        <v>0</v>
      </c>
      <c r="I18" s="38">
        <f>I17-K2*T17</f>
        <v>0.37185728223144443</v>
      </c>
      <c r="J18" s="40">
        <f>J17-K2*U17</f>
        <v>-0.61266306960866257</v>
      </c>
      <c r="K18" s="40">
        <f>K17-K2*V17</f>
        <v>7.863035950692622E-2</v>
      </c>
      <c r="L18" s="40">
        <f>L17-K2*W17</f>
        <v>0.31151633707040943</v>
      </c>
      <c r="M18" s="40">
        <f>M17-K2*X17</f>
        <v>0.47321788188400593</v>
      </c>
      <c r="N18" s="35">
        <f t="shared" si="0"/>
        <v>-1.6367130795991747</v>
      </c>
      <c r="O18" s="35">
        <f t="shared" si="1"/>
        <v>0.16291281073662139</v>
      </c>
      <c r="P18" s="36">
        <f t="shared" si="2"/>
        <v>0</v>
      </c>
      <c r="Q18" s="36">
        <f t="shared" si="3"/>
        <v>0.16291281073662139</v>
      </c>
      <c r="R18" s="37">
        <f t="shared" si="4"/>
        <v>2.6540583902106223E-2</v>
      </c>
      <c r="T18" s="31">
        <f t="shared" si="5"/>
        <v>4.4433565560045948E-2</v>
      </c>
      <c r="U18" s="31">
        <f t="shared" si="9"/>
        <v>0.19106433190819758</v>
      </c>
      <c r="V18" s="31">
        <f t="shared" si="6"/>
        <v>0.13330069668013783</v>
      </c>
      <c r="W18" s="31">
        <f t="shared" si="7"/>
        <v>4.8876922116050547E-2</v>
      </c>
      <c r="X18" s="31">
        <f t="shared" si="8"/>
        <v>4.4433565560045947E-3</v>
      </c>
    </row>
    <row r="19" spans="1:24" ht="14.25" customHeight="1" x14ac:dyDescent="0.3">
      <c r="A19" s="4"/>
      <c r="B19" s="32">
        <v>15</v>
      </c>
      <c r="C19" s="10">
        <v>5.8</v>
      </c>
      <c r="D19" s="11">
        <v>4</v>
      </c>
      <c r="E19" s="11">
        <v>1.2</v>
      </c>
      <c r="F19" s="11">
        <v>0.2</v>
      </c>
      <c r="G19" s="39">
        <v>0</v>
      </c>
      <c r="I19" s="38">
        <f>I18-K2*T18</f>
        <v>0.36741392567543985</v>
      </c>
      <c r="J19" s="40">
        <f>J18-K2*U18</f>
        <v>-0.6317695027994823</v>
      </c>
      <c r="K19" s="40">
        <f>K18-K2*V18</f>
        <v>6.5300289838912437E-2</v>
      </c>
      <c r="L19" s="40">
        <f>L18-K2*W18</f>
        <v>0.30662864485880437</v>
      </c>
      <c r="M19" s="40">
        <f>M18-K2*X18</f>
        <v>0.47277354622840545</v>
      </c>
      <c r="N19" s="35">
        <f t="shared" si="0"/>
        <v>-2.5731389481296612</v>
      </c>
      <c r="O19" s="35">
        <f t="shared" si="1"/>
        <v>7.0887287130647139E-2</v>
      </c>
      <c r="P19" s="36">
        <f t="shared" si="2"/>
        <v>0</v>
      </c>
      <c r="Q19" s="36">
        <f t="shared" si="3"/>
        <v>7.0887287130647139E-2</v>
      </c>
      <c r="R19" s="37">
        <f t="shared" si="4"/>
        <v>5.0250074767428116E-3</v>
      </c>
      <c r="T19" s="31">
        <f t="shared" si="5"/>
        <v>9.3375966578105908E-3</v>
      </c>
      <c r="U19" s="31">
        <f t="shared" si="9"/>
        <v>5.4158060615301422E-2</v>
      </c>
      <c r="V19" s="31">
        <f t="shared" si="6"/>
        <v>3.7350386631242363E-2</v>
      </c>
      <c r="W19" s="31">
        <f t="shared" si="7"/>
        <v>1.1205115989372709E-2</v>
      </c>
      <c r="X19" s="31">
        <f t="shared" si="8"/>
        <v>1.8675193315621182E-3</v>
      </c>
    </row>
    <row r="20" spans="1:24" ht="14.25" customHeight="1" x14ac:dyDescent="0.3">
      <c r="A20" s="4"/>
      <c r="B20" s="38">
        <v>16</v>
      </c>
      <c r="C20" s="10">
        <v>5.7</v>
      </c>
      <c r="D20" s="11">
        <v>4.4000000000000004</v>
      </c>
      <c r="E20" s="11">
        <v>1.5</v>
      </c>
      <c r="F20" s="11">
        <v>0.4</v>
      </c>
      <c r="G20" s="39">
        <v>0</v>
      </c>
      <c r="I20" s="38">
        <f>I19-K2*T19</f>
        <v>0.36648016600965877</v>
      </c>
      <c r="J20" s="40">
        <f>J19-K2*U19</f>
        <v>-0.63718530886101243</v>
      </c>
      <c r="K20" s="40">
        <f>K19-K2*V19</f>
        <v>6.1565251175788198E-2</v>
      </c>
      <c r="L20" s="40">
        <f>L19-K2*W19</f>
        <v>0.30550813325986709</v>
      </c>
      <c r="M20" s="40">
        <f>M19-K2*X19</f>
        <v>0.47258679429524925</v>
      </c>
      <c r="N20" s="35">
        <f t="shared" si="0"/>
        <v>-2.347292071716744</v>
      </c>
      <c r="O20" s="35">
        <f t="shared" si="1"/>
        <v>8.7281253815244153E-2</v>
      </c>
      <c r="P20" s="36">
        <f t="shared" si="2"/>
        <v>0</v>
      </c>
      <c r="Q20" s="36">
        <f t="shared" si="3"/>
        <v>8.7281253815244153E-2</v>
      </c>
      <c r="R20" s="37">
        <f t="shared" si="4"/>
        <v>7.6180172675610718E-3</v>
      </c>
      <c r="T20" s="31">
        <f t="shared" si="5"/>
        <v>1.3906214337724324E-2</v>
      </c>
      <c r="U20" s="31">
        <f t="shared" si="9"/>
        <v>7.9265421725028651E-2</v>
      </c>
      <c r="V20" s="31">
        <f t="shared" si="6"/>
        <v>6.1187343085987035E-2</v>
      </c>
      <c r="W20" s="31">
        <f t="shared" si="7"/>
        <v>2.0859321506586488E-2</v>
      </c>
      <c r="X20" s="31">
        <f t="shared" si="8"/>
        <v>5.5624857350897302E-3</v>
      </c>
    </row>
    <row r="21" spans="1:24" ht="14.25" customHeight="1" x14ac:dyDescent="0.3">
      <c r="A21" s="4"/>
      <c r="B21" s="32">
        <v>17</v>
      </c>
      <c r="C21" s="10">
        <v>5.4</v>
      </c>
      <c r="D21" s="11">
        <v>3.9</v>
      </c>
      <c r="E21" s="11">
        <v>1.3</v>
      </c>
      <c r="F21" s="11">
        <v>0.4</v>
      </c>
      <c r="G21" s="39">
        <v>0</v>
      </c>
      <c r="I21" s="38">
        <f>I20-K2*T20</f>
        <v>0.36508954457588633</v>
      </c>
      <c r="J21" s="40">
        <f>J20-K2*U20</f>
        <v>-0.64511185103351532</v>
      </c>
      <c r="K21" s="40">
        <f>K20-K2*V20</f>
        <v>5.5446516867189495E-2</v>
      </c>
      <c r="L21" s="40">
        <f>L20-K2*W20</f>
        <v>0.30342220110920842</v>
      </c>
      <c r="M21" s="40">
        <f>M20-K2*X20</f>
        <v>0.47203054572174025</v>
      </c>
      <c r="N21" s="35">
        <f t="shared" si="0"/>
        <v>-2.3190119554923907</v>
      </c>
      <c r="O21" s="35">
        <f t="shared" si="1"/>
        <v>8.9560591315706803E-2</v>
      </c>
      <c r="P21" s="36">
        <f t="shared" si="2"/>
        <v>0</v>
      </c>
      <c r="Q21" s="36">
        <f t="shared" si="3"/>
        <v>8.9560591315706803E-2</v>
      </c>
      <c r="R21" s="37">
        <f t="shared" si="4"/>
        <v>8.0210995168190566E-3</v>
      </c>
      <c r="T21" s="31">
        <f t="shared" si="5"/>
        <v>1.4605450202181222E-2</v>
      </c>
      <c r="U21" s="31">
        <f t="shared" si="9"/>
        <v>7.8869431091778602E-2</v>
      </c>
      <c r="V21" s="31">
        <f t="shared" si="6"/>
        <v>5.6961255788506762E-2</v>
      </c>
      <c r="W21" s="31">
        <f t="shared" si="7"/>
        <v>1.8987085262835591E-2</v>
      </c>
      <c r="X21" s="31">
        <f t="shared" si="8"/>
        <v>5.842180080872489E-3</v>
      </c>
    </row>
    <row r="22" spans="1:24" ht="14.25" customHeight="1" x14ac:dyDescent="0.3">
      <c r="A22" s="4"/>
      <c r="B22" s="38">
        <v>18</v>
      </c>
      <c r="C22" s="10">
        <v>5.0999999999999996</v>
      </c>
      <c r="D22" s="11">
        <v>3.5</v>
      </c>
      <c r="E22" s="11">
        <v>1.4</v>
      </c>
      <c r="F22" s="11">
        <v>0.3</v>
      </c>
      <c r="G22" s="39">
        <v>0</v>
      </c>
      <c r="I22" s="38">
        <f>I21-K2*T21</f>
        <v>0.36362899955566819</v>
      </c>
      <c r="J22" s="40">
        <f>J21-K2*U21</f>
        <v>-0.65299879414269313</v>
      </c>
      <c r="K22" s="40">
        <f>K21-K2*V21</f>
        <v>4.9750391288338816E-2</v>
      </c>
      <c r="L22" s="40">
        <f>L21-K2*W21</f>
        <v>0.30152349258292488</v>
      </c>
      <c r="M22" s="40">
        <f>M21-K2*X21</f>
        <v>0.47144632771365302</v>
      </c>
      <c r="N22" s="35">
        <f t="shared" si="0"/>
        <v>-2.2289716931326899</v>
      </c>
      <c r="O22" s="35">
        <f t="shared" si="1"/>
        <v>9.7178822227874037E-2</v>
      </c>
      <c r="P22" s="36">
        <f t="shared" si="2"/>
        <v>0</v>
      </c>
      <c r="Q22" s="36">
        <f t="shared" si="3"/>
        <v>9.7178822227874037E-2</v>
      </c>
      <c r="R22" s="37">
        <f t="shared" si="4"/>
        <v>9.4437234895967444E-3</v>
      </c>
      <c r="T22" s="31">
        <f t="shared" si="5"/>
        <v>1.7051987126864052E-2</v>
      </c>
      <c r="U22" s="31">
        <f t="shared" si="9"/>
        <v>8.6965134347006659E-2</v>
      </c>
      <c r="V22" s="31">
        <f t="shared" si="6"/>
        <v>5.9681954944024181E-2</v>
      </c>
      <c r="W22" s="31">
        <f t="shared" si="7"/>
        <v>2.3872781977609669E-2</v>
      </c>
      <c r="X22" s="31">
        <f t="shared" si="8"/>
        <v>5.1155961380592151E-3</v>
      </c>
    </row>
    <row r="23" spans="1:24" ht="14.25" customHeight="1" x14ac:dyDescent="0.3">
      <c r="A23" s="4"/>
      <c r="B23" s="32">
        <v>19</v>
      </c>
      <c r="C23" s="10">
        <v>5.7</v>
      </c>
      <c r="D23" s="11">
        <v>3.8</v>
      </c>
      <c r="E23" s="11">
        <v>1.7</v>
      </c>
      <c r="F23" s="11">
        <v>0.3</v>
      </c>
      <c r="G23" s="39">
        <v>0</v>
      </c>
      <c r="I23" s="38">
        <f>I22-K2*T22</f>
        <v>0.36192380084298176</v>
      </c>
      <c r="J23" s="40">
        <f>J22-K2*U22</f>
        <v>-0.66169530757739381</v>
      </c>
      <c r="K23" s="40">
        <f>K22-K2*V22</f>
        <v>4.3782195793936399E-2</v>
      </c>
      <c r="L23" s="40">
        <f>L22-K2*W22</f>
        <v>0.29913621438516391</v>
      </c>
      <c r="M23" s="40">
        <f>M22-K2*X22</f>
        <v>0.47093476809984708</v>
      </c>
      <c r="N23" s="35">
        <f t="shared" si="0"/>
        <v>-2.593555113446472</v>
      </c>
      <c r="O23" s="35">
        <f t="shared" si="1"/>
        <v>6.955435583273073E-2</v>
      </c>
      <c r="P23" s="36">
        <f t="shared" si="2"/>
        <v>0</v>
      </c>
      <c r="Q23" s="36">
        <f t="shared" si="3"/>
        <v>6.955435583273073E-2</v>
      </c>
      <c r="R23" s="37">
        <f t="shared" si="4"/>
        <v>4.8378084153061236E-3</v>
      </c>
      <c r="T23" s="31">
        <f t="shared" si="5"/>
        <v>9.0026355346746849E-3</v>
      </c>
      <c r="U23" s="31">
        <f t="shared" si="9"/>
        <v>5.1315022547645708E-2</v>
      </c>
      <c r="V23" s="31">
        <f t="shared" si="6"/>
        <v>3.4210015031763803E-2</v>
      </c>
      <c r="W23" s="31">
        <f t="shared" si="7"/>
        <v>1.5304480408946964E-2</v>
      </c>
      <c r="X23" s="31">
        <f t="shared" si="8"/>
        <v>2.7007906604024053E-3</v>
      </c>
    </row>
    <row r="24" spans="1:24" ht="14.25" customHeight="1" x14ac:dyDescent="0.3">
      <c r="A24" s="4"/>
      <c r="B24" s="38">
        <v>20</v>
      </c>
      <c r="C24" s="10">
        <v>5.0999999999999996</v>
      </c>
      <c r="D24" s="11">
        <v>3.8</v>
      </c>
      <c r="E24" s="11">
        <v>1.5</v>
      </c>
      <c r="F24" s="11">
        <v>0.3</v>
      </c>
      <c r="G24" s="39">
        <v>0</v>
      </c>
      <c r="I24" s="38">
        <f>I23-K2*T23</f>
        <v>0.36102353728951431</v>
      </c>
      <c r="J24" s="40">
        <f>J23-K2*U23</f>
        <v>-0.66682680983215836</v>
      </c>
      <c r="K24" s="40">
        <f>K23-K2*V23</f>
        <v>4.0361194290760016E-2</v>
      </c>
      <c r="L24" s="40">
        <f>L23-K2*W23</f>
        <v>0.29760576634426922</v>
      </c>
      <c r="M24" s="40">
        <f>M23-K2*X23</f>
        <v>0.47066468903380682</v>
      </c>
      <c r="N24" s="35">
        <f t="shared" si="0"/>
        <v>-2.2988125983230594</v>
      </c>
      <c r="O24" s="35">
        <f t="shared" si="1"/>
        <v>9.1221348863451096E-2</v>
      </c>
      <c r="P24" s="36">
        <f t="shared" si="2"/>
        <v>0</v>
      </c>
      <c r="Q24" s="36">
        <f t="shared" si="3"/>
        <v>9.1221348863451096E-2</v>
      </c>
      <c r="R24" s="37">
        <f t="shared" si="4"/>
        <v>8.3213344884674502E-3</v>
      </c>
      <c r="T24" s="31">
        <f t="shared" si="5"/>
        <v>1.5124502264170989E-2</v>
      </c>
      <c r="U24" s="31">
        <f t="shared" si="9"/>
        <v>7.7134961547272035E-2</v>
      </c>
      <c r="V24" s="31">
        <f t="shared" si="6"/>
        <v>5.7473108603849757E-2</v>
      </c>
      <c r="W24" s="31">
        <f t="shared" si="7"/>
        <v>2.2686753396256483E-2</v>
      </c>
      <c r="X24" s="31">
        <f t="shared" si="8"/>
        <v>4.5373506792512966E-3</v>
      </c>
    </row>
    <row r="25" spans="1:24" ht="14.25" customHeight="1" x14ac:dyDescent="0.3">
      <c r="A25" s="4"/>
      <c r="B25" s="32">
        <v>21</v>
      </c>
      <c r="C25" s="10">
        <v>5.4</v>
      </c>
      <c r="D25" s="11">
        <v>3.4</v>
      </c>
      <c r="E25" s="11">
        <v>1.7</v>
      </c>
      <c r="F25" s="11">
        <v>0.2</v>
      </c>
      <c r="G25" s="39">
        <v>0</v>
      </c>
      <c r="I25" s="38">
        <f>I24-K2*T24</f>
        <v>0.3595110870630972</v>
      </c>
      <c r="J25" s="40">
        <f>J24-K2*U24</f>
        <v>-0.67454030598688552</v>
      </c>
      <c r="K25" s="40">
        <f>K24-K2*V24</f>
        <v>3.4613883430375039E-2</v>
      </c>
      <c r="L25" s="40">
        <f>L24-K2*W24</f>
        <v>0.29533709100464356</v>
      </c>
      <c r="M25" s="40">
        <f>M24-K2*X24</f>
        <v>0.4702109539658817</v>
      </c>
      <c r="N25" s="35">
        <f t="shared" si="0"/>
        <v>-2.5692041161017394</v>
      </c>
      <c r="O25" s="35">
        <f t="shared" si="1"/>
        <v>7.1146882125751737E-2</v>
      </c>
      <c r="P25" s="36">
        <f t="shared" si="2"/>
        <v>0</v>
      </c>
      <c r="Q25" s="36">
        <f t="shared" si="3"/>
        <v>7.1146882125751737E-2</v>
      </c>
      <c r="R25" s="37">
        <f t="shared" si="4"/>
        <v>5.0618788362156121E-3</v>
      </c>
      <c r="T25" s="31">
        <f t="shared" si="5"/>
        <v>9.4034838786410842E-3</v>
      </c>
      <c r="U25" s="31">
        <f t="shared" si="9"/>
        <v>5.0778812944661855E-2</v>
      </c>
      <c r="V25" s="31">
        <f t="shared" si="6"/>
        <v>3.1971845187379687E-2</v>
      </c>
      <c r="W25" s="31">
        <f t="shared" si="7"/>
        <v>1.5985922593689843E-2</v>
      </c>
      <c r="X25" s="31">
        <f t="shared" si="8"/>
        <v>1.880696775728217E-3</v>
      </c>
    </row>
    <row r="26" spans="1:24" ht="14.25" customHeight="1" x14ac:dyDescent="0.3">
      <c r="A26" s="4"/>
      <c r="B26" s="38">
        <v>22</v>
      </c>
      <c r="C26" s="10">
        <v>5.0999999999999996</v>
      </c>
      <c r="D26" s="11">
        <v>3.7</v>
      </c>
      <c r="E26" s="11">
        <v>1.5</v>
      </c>
      <c r="F26" s="11">
        <v>0.4</v>
      </c>
      <c r="G26" s="39">
        <v>0</v>
      </c>
      <c r="I26" s="38">
        <f>I25-K2*T25</f>
        <v>0.35857073867523309</v>
      </c>
      <c r="J26" s="40">
        <f>J25-K2*U25</f>
        <v>-0.6796181872813517</v>
      </c>
      <c r="K26" s="40">
        <f>K25-K2*V25</f>
        <v>3.1416698911637071E-2</v>
      </c>
      <c r="L26" s="40">
        <f>L25-K2*W25</f>
        <v>0.29373849874527458</v>
      </c>
      <c r="M26" s="40">
        <f>M25-K2*X25</f>
        <v>0.47002288428830885</v>
      </c>
      <c r="N26" s="35">
        <f t="shared" si="0"/>
        <v>-2.3626233286533673</v>
      </c>
      <c r="O26" s="35">
        <f t="shared" si="1"/>
        <v>8.6067619307916926E-2</v>
      </c>
      <c r="P26" s="36">
        <f t="shared" si="2"/>
        <v>0</v>
      </c>
      <c r="Q26" s="36">
        <f t="shared" si="3"/>
        <v>8.6067619307916926E-2</v>
      </c>
      <c r="R26" s="37">
        <f t="shared" si="4"/>
        <v>7.4076350933325145E-3</v>
      </c>
      <c r="T26" s="31">
        <f t="shared" si="5"/>
        <v>1.3540155152295211E-2</v>
      </c>
      <c r="U26" s="31">
        <f t="shared" si="9"/>
        <v>6.9054791276705565E-2</v>
      </c>
      <c r="V26" s="31">
        <f t="shared" si="6"/>
        <v>5.0098574063492281E-2</v>
      </c>
      <c r="W26" s="31">
        <f t="shared" si="7"/>
        <v>2.0310232728442817E-2</v>
      </c>
      <c r="X26" s="31">
        <f t="shared" si="8"/>
        <v>5.4160620609180849E-3</v>
      </c>
    </row>
    <row r="27" spans="1:24" ht="14.25" customHeight="1" x14ac:dyDescent="0.3">
      <c r="A27" s="4"/>
      <c r="B27" s="32">
        <v>23</v>
      </c>
      <c r="C27" s="10">
        <v>4.5999999999999996</v>
      </c>
      <c r="D27" s="11">
        <v>3.6</v>
      </c>
      <c r="E27" s="11">
        <v>1</v>
      </c>
      <c r="F27" s="11">
        <v>0.2</v>
      </c>
      <c r="G27" s="39">
        <v>0</v>
      </c>
      <c r="I27" s="38">
        <f>I26-K2*T26</f>
        <v>0.35721672316000358</v>
      </c>
      <c r="J27" s="40">
        <f>J26-K2*U26</f>
        <v>-0.68652366640902229</v>
      </c>
      <c r="K27" s="40">
        <f>K26-K2*V26</f>
        <v>2.6406841505287843E-2</v>
      </c>
      <c r="L27" s="40">
        <f>L26-K2*W26</f>
        <v>0.29170747547243031</v>
      </c>
      <c r="M27" s="40">
        <f>M26-K2*X26</f>
        <v>0.46948127808221707</v>
      </c>
      <c r="N27" s="35">
        <f t="shared" si="0"/>
        <v>-2.3201237818135882</v>
      </c>
      <c r="O27" s="35">
        <f t="shared" si="1"/>
        <v>8.9469974923485601E-2</v>
      </c>
      <c r="P27" s="36">
        <f t="shared" si="2"/>
        <v>0</v>
      </c>
      <c r="Q27" s="36">
        <f t="shared" si="3"/>
        <v>8.9469974923485601E-2</v>
      </c>
      <c r="R27" s="37">
        <f t="shared" si="4"/>
        <v>8.0048764128091421E-3</v>
      </c>
      <c r="T27" s="31">
        <f t="shared" si="5"/>
        <v>1.4577360641779015E-2</v>
      </c>
      <c r="U27" s="31">
        <f t="shared" si="9"/>
        <v>6.7055858952183467E-2</v>
      </c>
      <c r="V27" s="31">
        <f t="shared" si="6"/>
        <v>5.2478498310404451E-2</v>
      </c>
      <c r="W27" s="31">
        <f t="shared" si="7"/>
        <v>1.4577360641779015E-2</v>
      </c>
      <c r="X27" s="31">
        <f t="shared" si="8"/>
        <v>2.9154721283558031E-3</v>
      </c>
    </row>
    <row r="28" spans="1:24" ht="14.25" customHeight="1" x14ac:dyDescent="0.3">
      <c r="A28" s="4"/>
      <c r="B28" s="38">
        <v>24</v>
      </c>
      <c r="C28" s="10">
        <v>5.0999999999999996</v>
      </c>
      <c r="D28" s="11">
        <v>3.3</v>
      </c>
      <c r="E28" s="11">
        <v>1.7</v>
      </c>
      <c r="F28" s="11">
        <v>0.5</v>
      </c>
      <c r="G28" s="39">
        <v>0</v>
      </c>
      <c r="I28" s="38">
        <f>I27-K2*T27</f>
        <v>0.35575898709582565</v>
      </c>
      <c r="J28" s="40">
        <f>J27-K2*U27</f>
        <v>-0.6932292523042406</v>
      </c>
      <c r="K28" s="40">
        <f>K27-K2*V27</f>
        <v>2.1158991674247396E-2</v>
      </c>
      <c r="L28" s="40">
        <f>L27-K2*W27</f>
        <v>0.29024973940825238</v>
      </c>
      <c r="M28" s="40">
        <f>M27-K2*X27</f>
        <v>0.46918973086938148</v>
      </c>
      <c r="N28" s="35">
        <f t="shared" si="0"/>
        <v>-2.3818661047020648</v>
      </c>
      <c r="O28" s="35">
        <f t="shared" si="1"/>
        <v>8.4565989973366049E-2</v>
      </c>
      <c r="P28" s="36">
        <f t="shared" si="2"/>
        <v>0</v>
      </c>
      <c r="Q28" s="36">
        <f t="shared" si="3"/>
        <v>8.4565989973366049E-2</v>
      </c>
      <c r="R28" s="37">
        <f t="shared" si="4"/>
        <v>7.1514066601754472E-3</v>
      </c>
      <c r="T28" s="31">
        <f t="shared" si="5"/>
        <v>1.3093281752511173E-2</v>
      </c>
      <c r="U28" s="31">
        <f t="shared" si="9"/>
        <v>6.6775736937806973E-2</v>
      </c>
      <c r="V28" s="31">
        <f t="shared" si="6"/>
        <v>4.3207829783286869E-2</v>
      </c>
      <c r="W28" s="31">
        <f t="shared" si="7"/>
        <v>2.2258578979268993E-2</v>
      </c>
      <c r="X28" s="31">
        <f t="shared" si="8"/>
        <v>6.5466408762555866E-3</v>
      </c>
    </row>
    <row r="29" spans="1:24" ht="14.25" customHeight="1" x14ac:dyDescent="0.3">
      <c r="A29" s="4"/>
      <c r="B29" s="32">
        <v>25</v>
      </c>
      <c r="C29" s="10">
        <v>4.8</v>
      </c>
      <c r="D29" s="11">
        <v>3.4</v>
      </c>
      <c r="E29" s="11">
        <v>1.9</v>
      </c>
      <c r="F29" s="11">
        <v>0.2</v>
      </c>
      <c r="G29" s="39">
        <v>0</v>
      </c>
      <c r="I29" s="38">
        <f>I28-K2*T28</f>
        <v>0.35444965892057456</v>
      </c>
      <c r="J29" s="40">
        <f>J28-K2*U28</f>
        <v>-0.69990682599802134</v>
      </c>
      <c r="K29" s="40">
        <f>K28-K2*V28</f>
        <v>1.6838208695918708E-2</v>
      </c>
      <c r="L29" s="40">
        <f>L28-K2*W28</f>
        <v>0.28802388151032549</v>
      </c>
      <c r="M29" s="40">
        <f>M28-K2*X28</f>
        <v>0.46853506678175594</v>
      </c>
      <c r="N29" s="35">
        <f t="shared" si="0"/>
        <v>-2.306900808077835</v>
      </c>
      <c r="O29" s="35">
        <f t="shared" si="1"/>
        <v>9.0553049391977433E-2</v>
      </c>
      <c r="P29" s="36">
        <f t="shared" si="2"/>
        <v>0</v>
      </c>
      <c r="Q29" s="36">
        <f t="shared" si="3"/>
        <v>9.0553049391977433E-2</v>
      </c>
      <c r="R29" s="37">
        <f t="shared" si="4"/>
        <v>8.1998547541859042E-3</v>
      </c>
      <c r="T29" s="31">
        <f t="shared" si="5"/>
        <v>1.4914665803246135E-2</v>
      </c>
      <c r="U29" s="31">
        <f t="shared" si="9"/>
        <v>7.159039585558144E-2</v>
      </c>
      <c r="V29" s="31">
        <f t="shared" si="6"/>
        <v>5.0709863731036857E-2</v>
      </c>
      <c r="W29" s="31">
        <f t="shared" si="7"/>
        <v>2.8337865026167655E-2</v>
      </c>
      <c r="X29" s="31">
        <f t="shared" si="8"/>
        <v>2.9829331606492271E-3</v>
      </c>
    </row>
    <row r="30" spans="1:24" ht="14.25" customHeight="1" x14ac:dyDescent="0.3">
      <c r="A30" s="4"/>
      <c r="B30" s="38">
        <v>26</v>
      </c>
      <c r="C30" s="10">
        <v>5</v>
      </c>
      <c r="D30" s="11">
        <v>3</v>
      </c>
      <c r="E30" s="11">
        <v>1.6</v>
      </c>
      <c r="F30" s="11">
        <v>0.2</v>
      </c>
      <c r="G30" s="39">
        <v>0</v>
      </c>
      <c r="I30" s="38">
        <f>I29-K2*T29</f>
        <v>0.35295819234024994</v>
      </c>
      <c r="J30" s="40">
        <f>J29-K2*U29</f>
        <v>-0.70706586558357953</v>
      </c>
      <c r="K30" s="40">
        <f>K29-K2*V29</f>
        <v>1.1767222322815022E-2</v>
      </c>
      <c r="L30" s="40">
        <f>L29-K2*W29</f>
        <v>0.2851900950077087</v>
      </c>
      <c r="M30" s="40">
        <f>M29-K2*X29</f>
        <v>0.46823677346569104</v>
      </c>
      <c r="N30" s="35">
        <f t="shared" si="0"/>
        <v>-2.5971179619037303</v>
      </c>
      <c r="O30" s="35">
        <f t="shared" si="1"/>
        <v>6.9324133896401907E-2</v>
      </c>
      <c r="P30" s="36">
        <f t="shared" si="2"/>
        <v>0</v>
      </c>
      <c r="Q30" s="36">
        <f t="shared" si="3"/>
        <v>6.9324133896401907E-2</v>
      </c>
      <c r="R30" s="37">
        <f t="shared" si="4"/>
        <v>4.8058355404862595E-3</v>
      </c>
      <c r="T30" s="31">
        <f t="shared" si="5"/>
        <v>8.9453503079870069E-3</v>
      </c>
      <c r="U30" s="31">
        <f t="shared" si="9"/>
        <v>4.4726751539935036E-2</v>
      </c>
      <c r="V30" s="31">
        <f t="shared" si="6"/>
        <v>2.6836050923961019E-2</v>
      </c>
      <c r="W30" s="31">
        <f t="shared" si="7"/>
        <v>1.4312560492779212E-2</v>
      </c>
      <c r="X30" s="31">
        <f t="shared" si="8"/>
        <v>1.7890700615974015E-3</v>
      </c>
    </row>
    <row r="31" spans="1:24" ht="14.25" customHeight="1" x14ac:dyDescent="0.3">
      <c r="A31" s="4"/>
      <c r="B31" s="32">
        <v>27</v>
      </c>
      <c r="C31" s="10">
        <v>5</v>
      </c>
      <c r="D31" s="11">
        <v>3.4</v>
      </c>
      <c r="E31" s="11">
        <v>1.6</v>
      </c>
      <c r="F31" s="11">
        <v>0.4</v>
      </c>
      <c r="G31" s="39">
        <v>0</v>
      </c>
      <c r="I31" s="38">
        <f>I30-K2*T30</f>
        <v>0.35206365730945122</v>
      </c>
      <c r="J31" s="40">
        <f>J30-K2*U30</f>
        <v>-0.71153854073757306</v>
      </c>
      <c r="K31" s="40">
        <f>K30-K2*V30</f>
        <v>9.0836172304189205E-3</v>
      </c>
      <c r="L31" s="40">
        <f>L30-K2*W30</f>
        <v>0.28375883895843079</v>
      </c>
      <c r="M31" s="40">
        <f>M30-K2*X30</f>
        <v>0.46805786645953129</v>
      </c>
      <c r="N31" s="35">
        <f t="shared" si="0"/>
        <v>-2.533507458877688</v>
      </c>
      <c r="O31" s="35">
        <f t="shared" si="1"/>
        <v>7.3542312211737487E-2</v>
      </c>
      <c r="P31" s="36">
        <f t="shared" si="2"/>
        <v>0</v>
      </c>
      <c r="Q31" s="36">
        <f t="shared" si="3"/>
        <v>7.3542312211737487E-2</v>
      </c>
      <c r="R31" s="37">
        <f t="shared" si="4"/>
        <v>5.4084716854486724E-3</v>
      </c>
      <c r="T31" s="31">
        <f t="shared" si="5"/>
        <v>1.0021440344338129E-2</v>
      </c>
      <c r="U31" s="31">
        <f t="shared" si="9"/>
        <v>5.0107201721690642E-2</v>
      </c>
      <c r="V31" s="31">
        <f t="shared" si="6"/>
        <v>3.4072897170749634E-2</v>
      </c>
      <c r="W31" s="31">
        <f t="shared" si="7"/>
        <v>1.6034304550941007E-2</v>
      </c>
      <c r="X31" s="31">
        <f t="shared" si="8"/>
        <v>4.0085761377352518E-3</v>
      </c>
    </row>
    <row r="32" spans="1:24" ht="14.25" customHeight="1" x14ac:dyDescent="0.3">
      <c r="A32" s="4"/>
      <c r="B32" s="38">
        <v>28</v>
      </c>
      <c r="C32" s="10">
        <v>5.2</v>
      </c>
      <c r="D32" s="11">
        <v>3.5</v>
      </c>
      <c r="E32" s="11">
        <v>1.5</v>
      </c>
      <c r="F32" s="11">
        <v>0.2</v>
      </c>
      <c r="G32" s="39">
        <v>0</v>
      </c>
      <c r="I32" s="38">
        <f>I31-K2*T31</f>
        <v>0.35106151327501739</v>
      </c>
      <c r="J32" s="40">
        <f>J31-K2*U31</f>
        <v>-0.71654926090974214</v>
      </c>
      <c r="K32" s="40">
        <f>K31-K2*V31</f>
        <v>5.6763275133439569E-3</v>
      </c>
      <c r="L32" s="40">
        <f>L31-K2*W31</f>
        <v>0.2821554085033367</v>
      </c>
      <c r="M32" s="40">
        <f>M31-K2*X31</f>
        <v>0.46765700884575778</v>
      </c>
      <c r="N32" s="35">
        <f t="shared" si="0"/>
        <v>-2.8383629826347816</v>
      </c>
      <c r="O32" s="35">
        <f t="shared" si="1"/>
        <v>5.5285976059596079E-2</v>
      </c>
      <c r="P32" s="36">
        <f t="shared" si="2"/>
        <v>0</v>
      </c>
      <c r="Q32" s="36">
        <f t="shared" si="3"/>
        <v>5.5285976059596079E-2</v>
      </c>
      <c r="R32" s="37">
        <f t="shared" si="4"/>
        <v>3.0565391488622307E-3</v>
      </c>
      <c r="T32" s="31">
        <f t="shared" si="5"/>
        <v>5.7751107973060302E-3</v>
      </c>
      <c r="U32" s="31">
        <f t="shared" si="9"/>
        <v>3.0030576145991358E-2</v>
      </c>
      <c r="V32" s="31">
        <f t="shared" si="6"/>
        <v>2.0212887790571107E-2</v>
      </c>
      <c r="W32" s="31">
        <f t="shared" si="7"/>
        <v>8.6626661959590453E-3</v>
      </c>
      <c r="X32" s="31">
        <f t="shared" si="8"/>
        <v>1.1550221594612061E-3</v>
      </c>
    </row>
    <row r="33" spans="1:24" ht="14.25" customHeight="1" x14ac:dyDescent="0.3">
      <c r="A33" s="4"/>
      <c r="B33" s="32">
        <v>29</v>
      </c>
      <c r="C33" s="10">
        <v>5.2</v>
      </c>
      <c r="D33" s="11">
        <v>3.4</v>
      </c>
      <c r="E33" s="11">
        <v>1.4</v>
      </c>
      <c r="F33" s="11">
        <v>0.2</v>
      </c>
      <c r="G33" s="39">
        <v>0</v>
      </c>
      <c r="I33" s="38">
        <f>I32-K2*T32</f>
        <v>0.3504840021952868</v>
      </c>
      <c r="J33" s="40">
        <f>J32-K2*U32</f>
        <v>-0.71955231852434132</v>
      </c>
      <c r="K33" s="40">
        <f>K32-K2*V32</f>
        <v>3.6550387342868459E-3</v>
      </c>
      <c r="L33" s="40">
        <f>L32-K2*W32</f>
        <v>0.28128914188374082</v>
      </c>
      <c r="M33" s="40">
        <f>M32-K2*X32</f>
        <v>0.46754150662981164</v>
      </c>
      <c r="N33" s="35">
        <f t="shared" si="0"/>
        <v>-2.8914478224715134</v>
      </c>
      <c r="O33" s="35">
        <f t="shared" si="1"/>
        <v>5.2577950579742523E-2</v>
      </c>
      <c r="P33" s="36">
        <f t="shared" si="2"/>
        <v>0</v>
      </c>
      <c r="Q33" s="36">
        <f t="shared" si="3"/>
        <v>5.2577950579742523E-2</v>
      </c>
      <c r="R33" s="37">
        <f t="shared" si="4"/>
        <v>2.7644408871658472E-3</v>
      </c>
      <c r="T33" s="31">
        <f t="shared" si="5"/>
        <v>5.2381845016396429E-3</v>
      </c>
      <c r="U33" s="31">
        <f t="shared" si="9"/>
        <v>2.7238559408526142E-2</v>
      </c>
      <c r="V33" s="31">
        <f t="shared" si="6"/>
        <v>1.7809827305574785E-2</v>
      </c>
      <c r="W33" s="31">
        <f t="shared" si="7"/>
        <v>7.3334583022954996E-3</v>
      </c>
      <c r="X33" s="31">
        <f t="shared" si="8"/>
        <v>1.0476369003279285E-3</v>
      </c>
    </row>
    <row r="34" spans="1:24" ht="14.25" customHeight="1" x14ac:dyDescent="0.3">
      <c r="A34" s="4"/>
      <c r="B34" s="38">
        <v>30</v>
      </c>
      <c r="C34" s="10">
        <v>4.7</v>
      </c>
      <c r="D34" s="11">
        <v>3.2</v>
      </c>
      <c r="E34" s="11">
        <v>1.6</v>
      </c>
      <c r="F34" s="11">
        <v>0.2</v>
      </c>
      <c r="G34" s="39">
        <v>0</v>
      </c>
      <c r="I34" s="38">
        <f>I33-K2*T33</f>
        <v>0.34996018374512283</v>
      </c>
      <c r="J34" s="40">
        <f>J33-K2*U33</f>
        <v>-0.72227617446519388</v>
      </c>
      <c r="K34" s="40">
        <f>K33-K2*V33</f>
        <v>1.8740560037293673E-3</v>
      </c>
      <c r="L34" s="40">
        <f>L33-K2*W33</f>
        <v>0.28055579605351127</v>
      </c>
      <c r="M34" s="40">
        <f>M33-K2*X33</f>
        <v>0.46743674293977883</v>
      </c>
      <c r="N34" s="35">
        <f t="shared" si="0"/>
        <v>-2.4963642347557804</v>
      </c>
      <c r="O34" s="35">
        <f t="shared" si="1"/>
        <v>7.6113454049143145E-2</v>
      </c>
      <c r="P34" s="36">
        <f t="shared" si="2"/>
        <v>0</v>
      </c>
      <c r="Q34" s="36">
        <f t="shared" si="3"/>
        <v>7.6113454049143145E-2</v>
      </c>
      <c r="R34" s="37">
        <f t="shared" si="4"/>
        <v>5.7932578872910249E-3</v>
      </c>
      <c r="T34" s="31">
        <f t="shared" si="5"/>
        <v>1.0704626038583727E-2</v>
      </c>
      <c r="U34" s="31">
        <f t="shared" si="9"/>
        <v>5.0311742381343519E-2</v>
      </c>
      <c r="V34" s="31">
        <f t="shared" si="6"/>
        <v>3.4254803323467926E-2</v>
      </c>
      <c r="W34" s="31">
        <f t="shared" si="7"/>
        <v>1.7127401661733963E-2</v>
      </c>
      <c r="X34" s="31">
        <f t="shared" si="8"/>
        <v>2.1409252077167454E-3</v>
      </c>
    </row>
    <row r="35" spans="1:24" ht="14.25" customHeight="1" x14ac:dyDescent="0.3">
      <c r="A35" s="4"/>
      <c r="B35" s="32">
        <v>31</v>
      </c>
      <c r="C35" s="10">
        <v>4.8</v>
      </c>
      <c r="D35" s="11">
        <v>3.1</v>
      </c>
      <c r="E35" s="11">
        <v>1.6</v>
      </c>
      <c r="F35" s="11">
        <v>0.2</v>
      </c>
      <c r="G35" s="39">
        <v>0</v>
      </c>
      <c r="I35" s="38">
        <f>I34-K2*T34</f>
        <v>0.34888972114126449</v>
      </c>
      <c r="J35" s="40">
        <f>J34-K2*U34</f>
        <v>-0.72730734870332825</v>
      </c>
      <c r="K35" s="40">
        <f>K34-K2*V34</f>
        <v>-1.5514243286174254E-3</v>
      </c>
      <c r="L35" s="40">
        <f>L34-K2*W34</f>
        <v>0.27884305588733788</v>
      </c>
      <c r="M35" s="40">
        <f>M34-K2*X34</f>
        <v>0.46722265041900718</v>
      </c>
      <c r="N35" s="35">
        <f t="shared" si="0"/>
        <v>-2.6074015485498827</v>
      </c>
      <c r="O35" s="35">
        <f t="shared" si="1"/>
        <v>6.8663585703181138E-2</v>
      </c>
      <c r="P35" s="36">
        <f t="shared" si="2"/>
        <v>0</v>
      </c>
      <c r="Q35" s="36">
        <f t="shared" si="3"/>
        <v>6.8663585703181138E-2</v>
      </c>
      <c r="R35" s="37">
        <f t="shared" si="4"/>
        <v>4.7146880016181014E-3</v>
      </c>
      <c r="T35" s="31">
        <f t="shared" si="5"/>
        <v>8.7819212359104733E-3</v>
      </c>
      <c r="U35" s="31">
        <f t="shared" si="9"/>
        <v>4.2153221932370269E-2</v>
      </c>
      <c r="V35" s="31">
        <f t="shared" si="6"/>
        <v>2.7223955831322467E-2</v>
      </c>
      <c r="W35" s="31">
        <f t="shared" si="7"/>
        <v>1.4051073977456759E-2</v>
      </c>
      <c r="X35" s="31">
        <f t="shared" si="8"/>
        <v>1.7563842471820948E-3</v>
      </c>
    </row>
    <row r="36" spans="1:24" ht="14.25" customHeight="1" x14ac:dyDescent="0.3">
      <c r="A36" s="4"/>
      <c r="B36" s="38">
        <v>32</v>
      </c>
      <c r="C36" s="10">
        <v>5.4</v>
      </c>
      <c r="D36" s="11">
        <v>3.4</v>
      </c>
      <c r="E36" s="11">
        <v>1.5</v>
      </c>
      <c r="F36" s="11">
        <v>0.4</v>
      </c>
      <c r="G36" s="39">
        <v>0</v>
      </c>
      <c r="I36" s="38">
        <f>I35-K2*T35</f>
        <v>0.34801152901767346</v>
      </c>
      <c r="J36" s="40">
        <f>J35-K2*U35</f>
        <v>-0.73152267089656531</v>
      </c>
      <c r="K36" s="40">
        <f>K35-K2*V35</f>
        <v>-4.2738199117496722E-3</v>
      </c>
      <c r="L36" s="40">
        <f>L35-K2*W35</f>
        <v>0.27743794848959219</v>
      </c>
      <c r="M36" s="40">
        <f>M35-K2*X35</f>
        <v>0.467047011994289</v>
      </c>
      <c r="N36" s="35">
        <f t="shared" si="0"/>
        <v>-3.0137661539916247</v>
      </c>
      <c r="O36" s="35">
        <f t="shared" si="1"/>
        <v>4.6807824652317524E-2</v>
      </c>
      <c r="P36" s="36">
        <f t="shared" si="2"/>
        <v>0</v>
      </c>
      <c r="Q36" s="36">
        <f t="shared" si="3"/>
        <v>4.6807824652317524E-2</v>
      </c>
      <c r="R36" s="37">
        <f t="shared" si="4"/>
        <v>2.1909724486821043E-3</v>
      </c>
      <c r="T36" s="31">
        <f t="shared" si="5"/>
        <v>4.1768355889722671E-3</v>
      </c>
      <c r="U36" s="31">
        <f t="shared" si="9"/>
        <v>2.2554912180450245E-2</v>
      </c>
      <c r="V36" s="31">
        <f t="shared" si="6"/>
        <v>1.4201241002505707E-2</v>
      </c>
      <c r="W36" s="31">
        <f t="shared" si="7"/>
        <v>6.2652533834584006E-3</v>
      </c>
      <c r="X36" s="31">
        <f t="shared" si="8"/>
        <v>1.670734235588907E-3</v>
      </c>
    </row>
    <row r="37" spans="1:24" ht="14.25" customHeight="1" x14ac:dyDescent="0.3">
      <c r="A37" s="4"/>
      <c r="B37" s="32">
        <v>33</v>
      </c>
      <c r="C37" s="10">
        <v>5.2</v>
      </c>
      <c r="D37" s="11">
        <v>4.0999999999999996</v>
      </c>
      <c r="E37" s="11">
        <v>1.5</v>
      </c>
      <c r="F37" s="11">
        <v>0.1</v>
      </c>
      <c r="G37" s="39">
        <v>0</v>
      </c>
      <c r="I37" s="38">
        <f>I36-K2*T36</f>
        <v>0.34759384545877625</v>
      </c>
      <c r="J37" s="40">
        <f>J36-K2*U36</f>
        <v>-0.73377816211461033</v>
      </c>
      <c r="K37" s="40">
        <f>K36-K2*V36</f>
        <v>-5.6939440120002431E-3</v>
      </c>
      <c r="L37" s="40">
        <f>L36-K2*W36</f>
        <v>0.27681142315124635</v>
      </c>
      <c r="M37" s="40">
        <f>M36-K2*X36</f>
        <v>0.46687993857073012</v>
      </c>
      <c r="N37" s="35">
        <f t="shared" ref="N37:N68" si="10">I37+J37*C37+K37*D37+L37*E37+F37*M37</f>
        <v>-3.0294926394024562</v>
      </c>
      <c r="O37" s="35">
        <f t="shared" ref="O37:O68" si="11">1/(1+EXP(-N37))</f>
        <v>4.6111138104567934E-2</v>
      </c>
      <c r="P37" s="36">
        <f t="shared" ref="P37:P68" si="12">IF(O37&gt;0.5,1,0)</f>
        <v>0</v>
      </c>
      <c r="Q37" s="36">
        <f t="shared" ref="Q37:Q68" si="13">O37-G37</f>
        <v>4.6111138104567934E-2</v>
      </c>
      <c r="R37" s="37">
        <f t="shared" ref="R37:R68" si="14">Q37^2</f>
        <v>2.126237057298537E-3</v>
      </c>
      <c r="T37" s="31">
        <f t="shared" ref="T37:T68" si="15">2*(O37-G37)*(1-O37)*O37</f>
        <v>4.056387693412788E-3</v>
      </c>
      <c r="U37" s="31">
        <f t="shared" si="9"/>
        <v>2.1093216005746498E-2</v>
      </c>
      <c r="V37" s="31">
        <f t="shared" ref="V37:V68" si="16">2*(O37-G37)*(1-O37)*O37*D37</f>
        <v>1.663118954299243E-2</v>
      </c>
      <c r="W37" s="31">
        <f t="shared" ref="W37:W68" si="17">2*(O37-G37)*(1-O37)*O37*E37</f>
        <v>6.0845815401191824E-3</v>
      </c>
      <c r="X37" s="31">
        <f t="shared" ref="X37:X68" si="18">2*(O37-G37)*(1-O37)*O37*F37</f>
        <v>4.0563876934127883E-4</v>
      </c>
    </row>
    <row r="38" spans="1:24" ht="14.25" customHeight="1" x14ac:dyDescent="0.3">
      <c r="A38" s="4"/>
      <c r="B38" s="38">
        <v>34</v>
      </c>
      <c r="C38" s="10">
        <v>5.5</v>
      </c>
      <c r="D38" s="11">
        <v>4.2</v>
      </c>
      <c r="E38" s="11">
        <v>1.4</v>
      </c>
      <c r="F38" s="11">
        <v>0.2</v>
      </c>
      <c r="G38" s="39">
        <v>0</v>
      </c>
      <c r="I38" s="38">
        <f>I37-K2*T37</f>
        <v>0.34718820668943495</v>
      </c>
      <c r="J38" s="40">
        <f>J37-K2*U37</f>
        <v>-0.73588748371518498</v>
      </c>
      <c r="K38" s="40">
        <f>K37-K2*V37</f>
        <v>-7.3570629662994859E-3</v>
      </c>
      <c r="L38" s="40">
        <f>L37-K2*W37</f>
        <v>0.27620296499723446</v>
      </c>
      <c r="M38" s="40">
        <f>M37-K2*X37</f>
        <v>0.46683937469379599</v>
      </c>
      <c r="N38" s="35">
        <f t="shared" si="10"/>
        <v>-3.2510405922676533</v>
      </c>
      <c r="O38" s="35">
        <f t="shared" si="11"/>
        <v>3.7289513124709919E-2</v>
      </c>
      <c r="P38" s="36">
        <f t="shared" si="12"/>
        <v>0</v>
      </c>
      <c r="Q38" s="36">
        <f t="shared" si="13"/>
        <v>3.7289513124709919E-2</v>
      </c>
      <c r="R38" s="37">
        <f t="shared" si="14"/>
        <v>1.3905077890779133E-3</v>
      </c>
      <c r="T38" s="31">
        <f t="shared" si="15"/>
        <v>2.677312861254162E-3</v>
      </c>
      <c r="U38" s="31">
        <f t="shared" si="9"/>
        <v>1.4725220736897891E-2</v>
      </c>
      <c r="V38" s="31">
        <f t="shared" si="16"/>
        <v>1.124471401726748E-2</v>
      </c>
      <c r="W38" s="31">
        <f t="shared" si="17"/>
        <v>3.7482380057558265E-3</v>
      </c>
      <c r="X38" s="31">
        <f t="shared" si="18"/>
        <v>5.3546257225083244E-4</v>
      </c>
    </row>
    <row r="39" spans="1:24" ht="14.25" customHeight="1" x14ac:dyDescent="0.3">
      <c r="A39" s="4"/>
      <c r="B39" s="32">
        <v>35</v>
      </c>
      <c r="C39" s="10">
        <v>4.9000000000000004</v>
      </c>
      <c r="D39" s="11">
        <v>3.1</v>
      </c>
      <c r="E39" s="11">
        <v>1.5</v>
      </c>
      <c r="F39" s="11">
        <v>0.1</v>
      </c>
      <c r="G39" s="39">
        <v>0</v>
      </c>
      <c r="I39" s="38">
        <f>I38-K2*T38</f>
        <v>0.34692047540330956</v>
      </c>
      <c r="J39" s="40">
        <f>J38-K2*U38</f>
        <v>-0.73736000578887473</v>
      </c>
      <c r="K39" s="40">
        <f>K38-K2*V38</f>
        <v>-8.4815343680262334E-3</v>
      </c>
      <c r="L39" s="40">
        <f>L38-K2*W38</f>
        <v>0.27582814119665888</v>
      </c>
      <c r="M39" s="40">
        <f>M38-K2*X38</f>
        <v>0.4667858284365709</v>
      </c>
      <c r="N39" s="35">
        <f t="shared" si="10"/>
        <v>-2.8320155148644131</v>
      </c>
      <c r="O39" s="35">
        <f t="shared" si="11"/>
        <v>5.5618438087250748E-2</v>
      </c>
      <c r="P39" s="36">
        <f t="shared" si="12"/>
        <v>0</v>
      </c>
      <c r="Q39" s="36">
        <f t="shared" si="13"/>
        <v>5.5618438087250748E-2</v>
      </c>
      <c r="R39" s="37">
        <f t="shared" si="14"/>
        <v>3.0934106552653446E-3</v>
      </c>
      <c r="T39" s="31">
        <f t="shared" si="15"/>
        <v>5.8427199725140542E-3</v>
      </c>
      <c r="U39" s="31">
        <f t="shared" si="9"/>
        <v>2.8629327865318868E-2</v>
      </c>
      <c r="V39" s="31">
        <f t="shared" si="16"/>
        <v>1.8112431914793569E-2</v>
      </c>
      <c r="W39" s="31">
        <f t="shared" si="17"/>
        <v>8.7640799587710809E-3</v>
      </c>
      <c r="X39" s="31">
        <f t="shared" si="18"/>
        <v>5.842719972514054E-4</v>
      </c>
    </row>
    <row r="40" spans="1:24" ht="14.25" customHeight="1" x14ac:dyDescent="0.3">
      <c r="A40" s="4"/>
      <c r="B40" s="38">
        <v>36</v>
      </c>
      <c r="C40" s="10">
        <v>5</v>
      </c>
      <c r="D40" s="11">
        <v>3.2</v>
      </c>
      <c r="E40" s="11">
        <v>1.2</v>
      </c>
      <c r="F40" s="11">
        <v>0.2</v>
      </c>
      <c r="G40" s="39">
        <v>0</v>
      </c>
      <c r="I40" s="38">
        <f>I39-K2*T39</f>
        <v>0.34633620340605814</v>
      </c>
      <c r="J40" s="40">
        <f>J39-K2*U39</f>
        <v>-0.74022293857540666</v>
      </c>
      <c r="K40" s="40">
        <f>K39-K2*V39</f>
        <v>-1.0292777559505591E-2</v>
      </c>
      <c r="L40" s="40">
        <f>L39-K2*W39</f>
        <v>0.27495173320078176</v>
      </c>
      <c r="M40" s="40">
        <f>M39-K2*X39</f>
        <v>0.46672740123684575</v>
      </c>
      <c r="N40" s="35">
        <f t="shared" si="10"/>
        <v>-2.9644278175730858</v>
      </c>
      <c r="O40" s="35">
        <f t="shared" si="11"/>
        <v>4.9059025550092027E-2</v>
      </c>
      <c r="P40" s="36">
        <f t="shared" si="12"/>
        <v>0</v>
      </c>
      <c r="Q40" s="36">
        <f t="shared" si="13"/>
        <v>4.9059025550092027E-2</v>
      </c>
      <c r="R40" s="37">
        <f t="shared" si="14"/>
        <v>2.4067879879245825E-3</v>
      </c>
      <c r="T40" s="31">
        <f t="shared" si="15"/>
        <v>4.5774266290626708E-3</v>
      </c>
      <c r="U40" s="31">
        <f t="shared" si="9"/>
        <v>2.2887133145313356E-2</v>
      </c>
      <c r="V40" s="31">
        <f t="shared" si="16"/>
        <v>1.4647765213000548E-2</v>
      </c>
      <c r="W40" s="31">
        <f t="shared" si="17"/>
        <v>5.4929119548752046E-3</v>
      </c>
      <c r="X40" s="31">
        <f t="shared" si="18"/>
        <v>9.1548532581253424E-4</v>
      </c>
    </row>
    <row r="41" spans="1:24" ht="14.25" customHeight="1" x14ac:dyDescent="0.3">
      <c r="A41" s="4"/>
      <c r="B41" s="32">
        <v>37</v>
      </c>
      <c r="C41" s="10">
        <v>5.5</v>
      </c>
      <c r="D41" s="11">
        <v>3.5</v>
      </c>
      <c r="E41" s="11">
        <v>1.3</v>
      </c>
      <c r="F41" s="11">
        <v>0.2</v>
      </c>
      <c r="G41" s="39">
        <v>0</v>
      </c>
      <c r="I41" s="38">
        <f>I40-K2*T40</f>
        <v>0.34587846074315187</v>
      </c>
      <c r="J41" s="40">
        <f>J40-K2*U40</f>
        <v>-0.74251165188993795</v>
      </c>
      <c r="K41" s="40">
        <f>K40-K2*V40</f>
        <v>-1.1757554080805645E-2</v>
      </c>
      <c r="L41" s="40">
        <f>L40-K2*W40</f>
        <v>0.27440244200529423</v>
      </c>
      <c r="M41" s="40">
        <f>M40-K2*X40</f>
        <v>0.4666358527042645</v>
      </c>
      <c r="N41" s="35">
        <f t="shared" si="10"/>
        <v>-3.329036718786591</v>
      </c>
      <c r="O41" s="35">
        <f t="shared" si="11"/>
        <v>3.458838178052305E-2</v>
      </c>
      <c r="P41" s="36">
        <f t="shared" si="12"/>
        <v>0</v>
      </c>
      <c r="Q41" s="36">
        <f t="shared" si="13"/>
        <v>3.458838178052305E-2</v>
      </c>
      <c r="R41" s="37">
        <f t="shared" si="14"/>
        <v>1.1963561541952189E-3</v>
      </c>
      <c r="T41" s="31">
        <f t="shared" si="15"/>
        <v>2.3099522615768727E-3</v>
      </c>
      <c r="U41" s="31">
        <f t="shared" ref="U41:U72" si="19">2*(O41-G41)*(1-O41)*O41*C41</f>
        <v>1.27047374386728E-2</v>
      </c>
      <c r="V41" s="31">
        <f t="shared" si="16"/>
        <v>8.0848329155190548E-3</v>
      </c>
      <c r="W41" s="31">
        <f t="shared" si="17"/>
        <v>3.0029379400499344E-3</v>
      </c>
      <c r="X41" s="31">
        <f t="shared" si="18"/>
        <v>4.6199045231537457E-4</v>
      </c>
    </row>
    <row r="42" spans="1:24" ht="14.25" customHeight="1" x14ac:dyDescent="0.3">
      <c r="A42" s="4"/>
      <c r="B42" s="38">
        <v>38</v>
      </c>
      <c r="C42" s="10">
        <v>4.9000000000000004</v>
      </c>
      <c r="D42" s="11">
        <v>3.1</v>
      </c>
      <c r="E42" s="11">
        <v>1.5</v>
      </c>
      <c r="F42" s="11">
        <v>0.1</v>
      </c>
      <c r="G42" s="39">
        <v>0</v>
      </c>
      <c r="I42" s="38">
        <f>I41-K2*T41</f>
        <v>0.34564746551699421</v>
      </c>
      <c r="J42" s="40">
        <f>J41-K2*U41</f>
        <v>-0.74378212563380519</v>
      </c>
      <c r="K42" s="40">
        <f>K41-K2*V41</f>
        <v>-1.256603737235755E-2</v>
      </c>
      <c r="L42" s="40">
        <f>L41-K2*W41</f>
        <v>0.27410214821128925</v>
      </c>
      <c r="M42" s="40">
        <f>M41-K2*X41</f>
        <v>0.46658965365903299</v>
      </c>
      <c r="N42" s="35">
        <f t="shared" si="10"/>
        <v>-2.8800274782601223</v>
      </c>
      <c r="O42" s="35">
        <f t="shared" si="11"/>
        <v>5.3149753541566321E-2</v>
      </c>
      <c r="P42" s="36">
        <f t="shared" si="12"/>
        <v>0</v>
      </c>
      <c r="Q42" s="36">
        <f t="shared" si="13"/>
        <v>5.3149753541566321E-2</v>
      </c>
      <c r="R42" s="37">
        <f t="shared" si="14"/>
        <v>2.8248963015292416E-3</v>
      </c>
      <c r="T42" s="31">
        <f t="shared" si="15"/>
        <v>5.3495075186449602E-3</v>
      </c>
      <c r="U42" s="31">
        <f t="shared" si="19"/>
        <v>2.6212586841360307E-2</v>
      </c>
      <c r="V42" s="31">
        <f t="shared" si="16"/>
        <v>1.6583473307799378E-2</v>
      </c>
      <c r="W42" s="31">
        <f t="shared" si="17"/>
        <v>8.0242612779674403E-3</v>
      </c>
      <c r="X42" s="31">
        <f t="shared" si="18"/>
        <v>5.3495075186449608E-4</v>
      </c>
    </row>
    <row r="43" spans="1:24" ht="14.25" customHeight="1" x14ac:dyDescent="0.3">
      <c r="A43" s="4"/>
      <c r="B43" s="32">
        <v>39</v>
      </c>
      <c r="C43" s="10">
        <v>4.4000000000000004</v>
      </c>
      <c r="D43" s="11">
        <v>3</v>
      </c>
      <c r="E43" s="11">
        <v>1.3</v>
      </c>
      <c r="F43" s="11">
        <v>0.2</v>
      </c>
      <c r="G43" s="39">
        <v>0</v>
      </c>
      <c r="I43" s="38">
        <f>I42-K2*T42</f>
        <v>0.34511251476512972</v>
      </c>
      <c r="J43" s="40">
        <f>J42-K2*U42</f>
        <v>-0.74640338431794118</v>
      </c>
      <c r="K43" s="40">
        <f>K42-K2*V42</f>
        <v>-1.4224384703137487E-2</v>
      </c>
      <c r="L43" s="40">
        <f>L42-K2*W42</f>
        <v>0.27329972208349251</v>
      </c>
      <c r="M43" s="40">
        <f>M42-K2*X42</f>
        <v>0.46653615858384656</v>
      </c>
      <c r="N43" s="35">
        <f t="shared" si="10"/>
        <v>-2.5331386599179151</v>
      </c>
      <c r="O43" s="35">
        <f t="shared" si="11"/>
        <v>7.3567443853597106E-2</v>
      </c>
      <c r="P43" s="36">
        <f t="shared" si="12"/>
        <v>0</v>
      </c>
      <c r="Q43" s="36">
        <f t="shared" si="13"/>
        <v>7.3567443853597106E-2</v>
      </c>
      <c r="R43" s="37">
        <f t="shared" si="14"/>
        <v>5.4121687951521622E-3</v>
      </c>
      <c r="T43" s="31">
        <f t="shared" si="15"/>
        <v>1.0028018742377231E-2</v>
      </c>
      <c r="U43" s="31">
        <f t="shared" si="19"/>
        <v>4.4123282466459815E-2</v>
      </c>
      <c r="V43" s="31">
        <f t="shared" si="16"/>
        <v>3.0084056227131693E-2</v>
      </c>
      <c r="W43" s="31">
        <f t="shared" si="17"/>
        <v>1.30364243650904E-2</v>
      </c>
      <c r="X43" s="31">
        <f t="shared" si="18"/>
        <v>2.005603748475446E-3</v>
      </c>
    </row>
    <row r="44" spans="1:24" ht="14.25" customHeight="1" x14ac:dyDescent="0.3">
      <c r="A44" s="4"/>
      <c r="B44" s="38">
        <v>40</v>
      </c>
      <c r="C44" s="10">
        <v>5.0999999999999996</v>
      </c>
      <c r="D44" s="11">
        <v>3.4</v>
      </c>
      <c r="E44" s="11">
        <v>1.5</v>
      </c>
      <c r="F44" s="11">
        <v>0.2</v>
      </c>
      <c r="G44" s="39">
        <v>0</v>
      </c>
      <c r="I44" s="38">
        <f>I43-K2*T43</f>
        <v>0.34410971289089198</v>
      </c>
      <c r="J44" s="40">
        <f>J43-K2*U43</f>
        <v>-0.75081571256458712</v>
      </c>
      <c r="K44" s="40">
        <f>K43-K2*V43</f>
        <v>-1.7232790325850657E-2</v>
      </c>
      <c r="L44" s="40">
        <f>L43-K2*W43</f>
        <v>0.27199607964698347</v>
      </c>
      <c r="M44" s="40">
        <f>M43-K2*X43</f>
        <v>0.466335598208999</v>
      </c>
      <c r="N44" s="35">
        <f t="shared" si="10"/>
        <v>-3.0423806691841189</v>
      </c>
      <c r="O44" s="35">
        <f t="shared" si="11"/>
        <v>4.5547563949203049E-2</v>
      </c>
      <c r="P44" s="36">
        <f t="shared" si="12"/>
        <v>0</v>
      </c>
      <c r="Q44" s="36">
        <f t="shared" si="13"/>
        <v>4.5547563949203049E-2</v>
      </c>
      <c r="R44" s="37">
        <f t="shared" si="14"/>
        <v>2.0745805817067413E-3</v>
      </c>
      <c r="T44" s="31">
        <f t="shared" si="15"/>
        <v>3.960176979987357E-3</v>
      </c>
      <c r="U44" s="31">
        <f t="shared" si="19"/>
        <v>2.019690259793552E-2</v>
      </c>
      <c r="V44" s="31">
        <f t="shared" si="16"/>
        <v>1.3464601731957014E-2</v>
      </c>
      <c r="W44" s="31">
        <f t="shared" si="17"/>
        <v>5.9402654699810351E-3</v>
      </c>
      <c r="X44" s="31">
        <f t="shared" si="18"/>
        <v>7.9203539599747143E-4</v>
      </c>
    </row>
    <row r="45" spans="1:24" ht="14.25" customHeight="1" x14ac:dyDescent="0.3">
      <c r="A45" s="4"/>
      <c r="B45" s="32">
        <v>41</v>
      </c>
      <c r="C45" s="10">
        <v>7</v>
      </c>
      <c r="D45" s="11">
        <v>3.2</v>
      </c>
      <c r="E45" s="11">
        <v>4.7</v>
      </c>
      <c r="F45" s="11">
        <v>1.4</v>
      </c>
      <c r="G45" s="39">
        <v>1</v>
      </c>
      <c r="I45" s="38">
        <f>I44-K2*T44</f>
        <v>0.34371369519289324</v>
      </c>
      <c r="J45" s="40">
        <f>J44-K2*U44</f>
        <v>-0.75283540282438066</v>
      </c>
      <c r="K45" s="40">
        <f>K44-K2*V44</f>
        <v>-1.8579250499046358E-2</v>
      </c>
      <c r="L45" s="40">
        <f>L44-K2*W44</f>
        <v>0.27140205309998539</v>
      </c>
      <c r="M45" s="40">
        <f>M44-K2*X44</f>
        <v>0.46625639466939928</v>
      </c>
      <c r="N45" s="35">
        <f t="shared" si="10"/>
        <v>-3.0572391240676291</v>
      </c>
      <c r="O45" s="35">
        <f t="shared" si="11"/>
        <v>4.4905966751192052E-2</v>
      </c>
      <c r="P45" s="36">
        <f t="shared" si="12"/>
        <v>0</v>
      </c>
      <c r="Q45" s="36">
        <f t="shared" si="13"/>
        <v>-0.95509403324880793</v>
      </c>
      <c r="R45" s="37">
        <f t="shared" si="14"/>
        <v>0.91220461234747507</v>
      </c>
      <c r="T45" s="31">
        <f t="shared" si="15"/>
        <v>-8.1926859984719505E-2</v>
      </c>
      <c r="U45" s="31">
        <f t="shared" si="19"/>
        <v>-0.57348801989303655</v>
      </c>
      <c r="V45" s="31">
        <f t="shared" si="16"/>
        <v>-0.26216595195110243</v>
      </c>
      <c r="W45" s="31">
        <f t="shared" si="17"/>
        <v>-0.38505624192818166</v>
      </c>
      <c r="X45" s="31">
        <f t="shared" si="18"/>
        <v>-0.1146976039786073</v>
      </c>
    </row>
    <row r="46" spans="1:24" ht="14.25" customHeight="1" x14ac:dyDescent="0.3">
      <c r="A46" s="4"/>
      <c r="B46" s="38">
        <v>42</v>
      </c>
      <c r="C46" s="10">
        <v>6.4</v>
      </c>
      <c r="D46" s="11">
        <v>3.2</v>
      </c>
      <c r="E46" s="11">
        <v>4.5</v>
      </c>
      <c r="F46" s="11">
        <v>1.5</v>
      </c>
      <c r="G46" s="39">
        <v>1</v>
      </c>
      <c r="I46" s="38">
        <f>I45-K2*T45</f>
        <v>0.35190638119136519</v>
      </c>
      <c r="J46" s="40">
        <f>J45-K2*U45</f>
        <v>-0.69548660083507696</v>
      </c>
      <c r="K46" s="40">
        <f>K45-K2*V45</f>
        <v>7.6373446960638844E-3</v>
      </c>
      <c r="L46" s="40">
        <f>L45-K2*W45</f>
        <v>0.30990767729280355</v>
      </c>
      <c r="M46" s="40">
        <f>M45-K2*X45</f>
        <v>0.47772615506726002</v>
      </c>
      <c r="N46" s="35">
        <f t="shared" si="10"/>
        <v>-1.9635945807072166</v>
      </c>
      <c r="O46" s="35">
        <f t="shared" si="11"/>
        <v>0.12307855771916802</v>
      </c>
      <c r="P46" s="36">
        <f t="shared" si="12"/>
        <v>0</v>
      </c>
      <c r="Q46" s="36">
        <f t="shared" si="13"/>
        <v>-0.87692144228083202</v>
      </c>
      <c r="R46" s="37">
        <f t="shared" si="14"/>
        <v>0.76899121593189457</v>
      </c>
      <c r="T46" s="31">
        <f t="shared" si="15"/>
        <v>-0.18929265951121377</v>
      </c>
      <c r="U46" s="31">
        <f t="shared" si="19"/>
        <v>-1.2114730208717681</v>
      </c>
      <c r="V46" s="31">
        <f t="shared" si="16"/>
        <v>-0.60573651043588406</v>
      </c>
      <c r="W46" s="31">
        <f t="shared" si="17"/>
        <v>-0.8518169678004619</v>
      </c>
      <c r="X46" s="31">
        <f t="shared" si="18"/>
        <v>-0.28393898926682065</v>
      </c>
    </row>
    <row r="47" spans="1:24" ht="14.25" customHeight="1" x14ac:dyDescent="0.3">
      <c r="A47" s="4"/>
      <c r="B47" s="32">
        <v>43</v>
      </c>
      <c r="C47" s="10">
        <v>6.9</v>
      </c>
      <c r="D47" s="11">
        <v>3.1</v>
      </c>
      <c r="E47" s="11">
        <v>4.9000000000000004</v>
      </c>
      <c r="F47" s="11">
        <v>1.5</v>
      </c>
      <c r="G47" s="39">
        <v>1</v>
      </c>
      <c r="I47" s="38">
        <f>I46-K2*T46</f>
        <v>0.37083564714248657</v>
      </c>
      <c r="J47" s="40">
        <f>J46-K2*U46</f>
        <v>-0.57433929874790013</v>
      </c>
      <c r="K47" s="40">
        <f>K46-K2*V46</f>
        <v>6.8210995739652294E-2</v>
      </c>
      <c r="L47" s="40">
        <f>L46-K2*W46</f>
        <v>0.39508937407284972</v>
      </c>
      <c r="M47" s="40">
        <f>M46-K2*X46</f>
        <v>0.50612005399394211</v>
      </c>
      <c r="N47" s="35">
        <f t="shared" si="10"/>
        <v>-0.68553341347722541</v>
      </c>
      <c r="O47" s="35">
        <f t="shared" si="11"/>
        <v>0.33502742312433897</v>
      </c>
      <c r="P47" s="36">
        <f t="shared" si="12"/>
        <v>0</v>
      </c>
      <c r="Q47" s="36">
        <f t="shared" si="13"/>
        <v>-0.66497257687566103</v>
      </c>
      <c r="R47" s="37">
        <f t="shared" si="14"/>
        <v>0.44218852799665692</v>
      </c>
      <c r="T47" s="31">
        <f t="shared" si="15"/>
        <v>-0.29629056613972921</v>
      </c>
      <c r="U47" s="31">
        <f t="shared" si="19"/>
        <v>-2.0444049063641314</v>
      </c>
      <c r="V47" s="31">
        <f t="shared" si="16"/>
        <v>-0.91850075503316053</v>
      </c>
      <c r="W47" s="31">
        <f t="shared" si="17"/>
        <v>-1.4518237740846731</v>
      </c>
      <c r="X47" s="31">
        <f t="shared" si="18"/>
        <v>-0.44443584920959378</v>
      </c>
    </row>
    <row r="48" spans="1:24" ht="14.25" customHeight="1" x14ac:dyDescent="0.3">
      <c r="A48" s="4"/>
      <c r="B48" s="38">
        <v>44</v>
      </c>
      <c r="C48" s="10">
        <v>5.5</v>
      </c>
      <c r="D48" s="11">
        <v>2.2999999999999998</v>
      </c>
      <c r="E48" s="11">
        <v>4</v>
      </c>
      <c r="F48" s="11">
        <v>1.3</v>
      </c>
      <c r="G48" s="39">
        <v>1</v>
      </c>
      <c r="I48" s="38">
        <f>I47-K2*T47</f>
        <v>0.40046470375645948</v>
      </c>
      <c r="J48" s="40">
        <f>J47-K2*U47</f>
        <v>-0.36989880811148701</v>
      </c>
      <c r="K48" s="40">
        <f>K47-K2*V47</f>
        <v>0.16006107124296837</v>
      </c>
      <c r="L48" s="40">
        <f>L47-K2*W47</f>
        <v>0.54027175148131701</v>
      </c>
      <c r="M48" s="40">
        <f>M47-K2*X47</f>
        <v>0.55056363891490145</v>
      </c>
      <c r="N48" s="35">
        <f t="shared" si="10"/>
        <v>1.610981459516748</v>
      </c>
      <c r="O48" s="35">
        <f t="shared" si="11"/>
        <v>0.83354760458412613</v>
      </c>
      <c r="P48" s="36">
        <f t="shared" si="12"/>
        <v>1</v>
      </c>
      <c r="Q48" s="36">
        <f t="shared" si="13"/>
        <v>-0.16645239541587387</v>
      </c>
      <c r="R48" s="37">
        <f t="shared" si="14"/>
        <v>2.7706399939682429E-2</v>
      </c>
      <c r="T48" s="31">
        <f t="shared" si="15"/>
        <v>-4.6189206602744129E-2</v>
      </c>
      <c r="U48" s="31">
        <f t="shared" si="19"/>
        <v>-0.25404063631509272</v>
      </c>
      <c r="V48" s="31">
        <f t="shared" si="16"/>
        <v>-0.1062351751863115</v>
      </c>
      <c r="W48" s="31">
        <f t="shared" si="17"/>
        <v>-0.18475682641097652</v>
      </c>
      <c r="X48" s="31">
        <f t="shared" si="18"/>
        <v>-6.0045968583567366E-2</v>
      </c>
    </row>
    <row r="49" spans="1:24" ht="14.25" customHeight="1" x14ac:dyDescent="0.3">
      <c r="A49" s="4"/>
      <c r="B49" s="32">
        <v>45</v>
      </c>
      <c r="C49" s="10">
        <v>6.5</v>
      </c>
      <c r="D49" s="11">
        <v>2.8</v>
      </c>
      <c r="E49" s="11">
        <v>4.5999999999999996</v>
      </c>
      <c r="F49" s="11">
        <v>1.5</v>
      </c>
      <c r="G49" s="39">
        <v>1</v>
      </c>
      <c r="I49" s="38">
        <f>I48-K2*T48</f>
        <v>0.4050836244167339</v>
      </c>
      <c r="J49" s="40">
        <f>J48-K2*U48</f>
        <v>-0.34449474447997774</v>
      </c>
      <c r="K49" s="40">
        <f>K48-K2*V48</f>
        <v>0.17068458876159953</v>
      </c>
      <c r="L49" s="40">
        <f>L48-K2*W48</f>
        <v>0.55874743412241468</v>
      </c>
      <c r="M49" s="40">
        <f>M48-K2*X48</f>
        <v>0.5565682357732582</v>
      </c>
      <c r="N49" s="35">
        <f t="shared" si="10"/>
        <v>2.0488751844523523</v>
      </c>
      <c r="O49" s="35">
        <f t="shared" si="11"/>
        <v>0.88583391301812076</v>
      </c>
      <c r="P49" s="36">
        <f t="shared" si="12"/>
        <v>1</v>
      </c>
      <c r="Q49" s="36">
        <f t="shared" si="13"/>
        <v>-0.11416608698187924</v>
      </c>
      <c r="R49" s="37">
        <f t="shared" si="14"/>
        <v>1.3033895416754017E-2</v>
      </c>
      <c r="T49" s="31">
        <f t="shared" si="15"/>
        <v>-2.309173315778432E-2</v>
      </c>
      <c r="U49" s="31">
        <f t="shared" si="19"/>
        <v>-0.15009626552559807</v>
      </c>
      <c r="V49" s="31">
        <f t="shared" si="16"/>
        <v>-6.4656852841796092E-2</v>
      </c>
      <c r="W49" s="31">
        <f t="shared" si="17"/>
        <v>-0.10622197252580787</v>
      </c>
      <c r="X49" s="31">
        <f t="shared" si="18"/>
        <v>-3.4637599736676482E-2</v>
      </c>
    </row>
    <row r="50" spans="1:24" ht="14.25" customHeight="1" x14ac:dyDescent="0.3">
      <c r="A50" s="4"/>
      <c r="B50" s="38">
        <v>46</v>
      </c>
      <c r="C50" s="10">
        <v>5.7</v>
      </c>
      <c r="D50" s="11">
        <v>2.8</v>
      </c>
      <c r="E50" s="11">
        <v>4.5</v>
      </c>
      <c r="F50" s="11">
        <v>1.3</v>
      </c>
      <c r="G50" s="39">
        <v>1</v>
      </c>
      <c r="I50" s="38">
        <f>I49-K2*T49</f>
        <v>0.40739279773251236</v>
      </c>
      <c r="J50" s="40">
        <f>J49-K2*U49</f>
        <v>-0.32948511792741791</v>
      </c>
      <c r="K50" s="40">
        <f>K49-K2*V49</f>
        <v>0.17715027404577915</v>
      </c>
      <c r="L50" s="40">
        <f>L49-K2*W49</f>
        <v>0.56936963137499541</v>
      </c>
      <c r="M50" s="40">
        <f>M49-K2*X49</f>
        <v>0.56003199574692586</v>
      </c>
      <c r="N50" s="35">
        <f t="shared" si="10"/>
        <v>2.3155533285328946</v>
      </c>
      <c r="O50" s="35">
        <f t="shared" si="11"/>
        <v>0.91015699337664568</v>
      </c>
      <c r="P50" s="36">
        <f t="shared" si="12"/>
        <v>1</v>
      </c>
      <c r="Q50" s="36">
        <f t="shared" si="13"/>
        <v>-8.9843006623354316E-2</v>
      </c>
      <c r="R50" s="37">
        <f t="shared" si="14"/>
        <v>8.0717658391240878E-3</v>
      </c>
      <c r="T50" s="31">
        <f t="shared" si="15"/>
        <v>-1.4693148254754995E-2</v>
      </c>
      <c r="U50" s="31">
        <f t="shared" si="19"/>
        <v>-8.3750945052103468E-2</v>
      </c>
      <c r="V50" s="31">
        <f t="shared" si="16"/>
        <v>-4.114081511331398E-2</v>
      </c>
      <c r="W50" s="31">
        <f t="shared" si="17"/>
        <v>-6.611916714639747E-2</v>
      </c>
      <c r="X50" s="31">
        <f t="shared" si="18"/>
        <v>-1.9101092731181494E-2</v>
      </c>
    </row>
    <row r="51" spans="1:24" ht="14.25" customHeight="1" x14ac:dyDescent="0.3">
      <c r="A51" s="4"/>
      <c r="B51" s="32">
        <v>47</v>
      </c>
      <c r="C51" s="10">
        <v>6.3</v>
      </c>
      <c r="D51" s="11">
        <v>3.3</v>
      </c>
      <c r="E51" s="11">
        <v>4.7</v>
      </c>
      <c r="F51" s="11">
        <v>1.6</v>
      </c>
      <c r="G51" s="39">
        <v>1</v>
      </c>
      <c r="I51" s="38">
        <f>I50-K2*T50</f>
        <v>0.40886211255798788</v>
      </c>
      <c r="J51" s="40">
        <f>J50-K2*U50</f>
        <v>-0.32111002342220757</v>
      </c>
      <c r="K51" s="40">
        <f>K50-K2*V50</f>
        <v>0.18126435555711054</v>
      </c>
      <c r="L51" s="40">
        <f>L50-K2*W50</f>
        <v>0.5759815480896352</v>
      </c>
      <c r="M51" s="40">
        <f>M50-K2*X50</f>
        <v>0.56194210502004405</v>
      </c>
      <c r="N51" s="35">
        <f t="shared" si="10"/>
        <v>2.5902619823899009</v>
      </c>
      <c r="O51" s="35">
        <f t="shared" si="11"/>
        <v>0.93023222175873554</v>
      </c>
      <c r="P51" s="36">
        <f t="shared" si="12"/>
        <v>1</v>
      </c>
      <c r="Q51" s="36">
        <f t="shared" si="13"/>
        <v>-6.9767778241264455E-2</v>
      </c>
      <c r="R51" s="37">
        <f t="shared" si="14"/>
        <v>4.8675428807222537E-3</v>
      </c>
      <c r="T51" s="31">
        <f t="shared" si="15"/>
        <v>-9.0558904568803552E-3</v>
      </c>
      <c r="U51" s="31">
        <f t="shared" si="19"/>
        <v>-5.7052109878346233E-2</v>
      </c>
      <c r="V51" s="31">
        <f t="shared" si="16"/>
        <v>-2.9884438507705169E-2</v>
      </c>
      <c r="W51" s="31">
        <f t="shared" si="17"/>
        <v>-4.2562685147337673E-2</v>
      </c>
      <c r="X51" s="31">
        <f t="shared" si="18"/>
        <v>-1.4489424731008569E-2</v>
      </c>
    </row>
    <row r="52" spans="1:24" ht="14.25" customHeight="1" x14ac:dyDescent="0.3">
      <c r="A52" s="4"/>
      <c r="B52" s="38">
        <v>48</v>
      </c>
      <c r="C52" s="10">
        <v>4.9000000000000004</v>
      </c>
      <c r="D52" s="11">
        <v>2.4</v>
      </c>
      <c r="E52" s="11">
        <v>3.3</v>
      </c>
      <c r="F52" s="11">
        <v>1</v>
      </c>
      <c r="G52" s="39">
        <v>1</v>
      </c>
      <c r="I52" s="38">
        <f>I51-K2*T51</f>
        <v>0.40976770160367593</v>
      </c>
      <c r="J52" s="40">
        <f>J51-K2*U51</f>
        <v>-0.31540481243437296</v>
      </c>
      <c r="K52" s="40">
        <f>K51-K2*V51</f>
        <v>0.18425279940788106</v>
      </c>
      <c r="L52" s="40">
        <f>L51-K2*W51</f>
        <v>0.58023781660436902</v>
      </c>
      <c r="M52" s="40">
        <f>M51-K2*X51</f>
        <v>0.56339104749314495</v>
      </c>
      <c r="N52" s="35">
        <f t="shared" si="10"/>
        <v>1.7846666815417256</v>
      </c>
      <c r="O52" s="35">
        <f t="shared" si="11"/>
        <v>0.85627215055813077</v>
      </c>
      <c r="P52" s="36">
        <f t="shared" si="12"/>
        <v>1</v>
      </c>
      <c r="Q52" s="36">
        <f t="shared" si="13"/>
        <v>-0.14372784944186923</v>
      </c>
      <c r="R52" s="37">
        <f t="shared" si="14"/>
        <v>2.0657694705184627E-2</v>
      </c>
      <c r="T52" s="31">
        <f t="shared" si="15"/>
        <v>-3.5377217341563502E-2</v>
      </c>
      <c r="U52" s="31">
        <f t="shared" si="19"/>
        <v>-0.17334836497366118</v>
      </c>
      <c r="V52" s="31">
        <f t="shared" si="16"/>
        <v>-8.4905321619752408E-2</v>
      </c>
      <c r="W52" s="31">
        <f t="shared" si="17"/>
        <v>-0.11674481722715956</v>
      </c>
      <c r="X52" s="31">
        <f t="shared" si="18"/>
        <v>-3.5377217341563502E-2</v>
      </c>
    </row>
    <row r="53" spans="1:24" ht="14.25" customHeight="1" x14ac:dyDescent="0.3">
      <c r="A53" s="4"/>
      <c r="B53" s="32">
        <v>49</v>
      </c>
      <c r="C53" s="10">
        <v>6.6</v>
      </c>
      <c r="D53" s="11">
        <v>2.9</v>
      </c>
      <c r="E53" s="11">
        <v>4.5999999999999996</v>
      </c>
      <c r="F53" s="11">
        <v>1.3</v>
      </c>
      <c r="G53" s="39">
        <v>1</v>
      </c>
      <c r="I53" s="38">
        <f>I52-K2*T52</f>
        <v>0.41330542333783227</v>
      </c>
      <c r="J53" s="40">
        <f>J52-K2*U52</f>
        <v>-0.29806997593700685</v>
      </c>
      <c r="K53" s="40">
        <f>K52-K2*V52</f>
        <v>0.19274333156985629</v>
      </c>
      <c r="L53" s="40">
        <f>L52-K2*W52</f>
        <v>0.59191229832708503</v>
      </c>
      <c r="M53" s="40">
        <f>M52-K2*X52</f>
        <v>0.56692876922730129</v>
      </c>
      <c r="N53" s="35">
        <f t="shared" si="10"/>
        <v>2.4648032160062532</v>
      </c>
      <c r="O53" s="35">
        <f t="shared" si="11"/>
        <v>0.92163726407904223</v>
      </c>
      <c r="P53" s="36">
        <f t="shared" si="12"/>
        <v>1</v>
      </c>
      <c r="Q53" s="36">
        <f t="shared" si="13"/>
        <v>-7.8362735920957771E-2</v>
      </c>
      <c r="R53" s="37">
        <f t="shared" si="14"/>
        <v>6.1407183810177658E-3</v>
      </c>
      <c r="T53" s="31">
        <f t="shared" si="15"/>
        <v>-1.1319029776322199E-2</v>
      </c>
      <c r="U53" s="31">
        <f t="shared" si="19"/>
        <v>-7.4705596523726506E-2</v>
      </c>
      <c r="V53" s="31">
        <f t="shared" si="16"/>
        <v>-3.2825186351334378E-2</v>
      </c>
      <c r="W53" s="31">
        <f t="shared" si="17"/>
        <v>-5.2067536971082108E-2</v>
      </c>
      <c r="X53" s="31">
        <f t="shared" si="18"/>
        <v>-1.4714738709218859E-2</v>
      </c>
    </row>
    <row r="54" spans="1:24" ht="14.25" customHeight="1" x14ac:dyDescent="0.3">
      <c r="A54" s="4"/>
      <c r="B54" s="38">
        <v>50</v>
      </c>
      <c r="C54" s="10">
        <v>5.2</v>
      </c>
      <c r="D54" s="11">
        <v>2.7</v>
      </c>
      <c r="E54" s="11">
        <v>3.9</v>
      </c>
      <c r="F54" s="11">
        <v>1.4</v>
      </c>
      <c r="G54" s="39">
        <v>1</v>
      </c>
      <c r="I54" s="38">
        <f>I53-K2*T53</f>
        <v>0.41443732631546448</v>
      </c>
      <c r="J54" s="40">
        <f>J53-K2*U53</f>
        <v>-0.2905994162846342</v>
      </c>
      <c r="K54" s="40">
        <f>K53-K2*V53</f>
        <v>0.19602585020498972</v>
      </c>
      <c r="L54" s="40">
        <f>L53-K2*W53</f>
        <v>0.59711905202419324</v>
      </c>
      <c r="M54" s="40">
        <f>M53-K2*X53</f>
        <v>0.56840024309822312</v>
      </c>
      <c r="N54" s="35">
        <f t="shared" si="10"/>
        <v>2.5571148004207047</v>
      </c>
      <c r="O54" s="35">
        <f t="shared" si="11"/>
        <v>0.92805004160696758</v>
      </c>
      <c r="P54" s="36">
        <f t="shared" si="12"/>
        <v>1</v>
      </c>
      <c r="Q54" s="36">
        <f t="shared" si="13"/>
        <v>-7.194995839303242E-2</v>
      </c>
      <c r="R54" s="37">
        <f t="shared" si="14"/>
        <v>5.1767965127590965E-3</v>
      </c>
      <c r="T54" s="31">
        <f t="shared" si="15"/>
        <v>-9.608652438113768E-3</v>
      </c>
      <c r="U54" s="31">
        <f t="shared" si="19"/>
        <v>-4.9964992678191593E-2</v>
      </c>
      <c r="V54" s="31">
        <f t="shared" si="16"/>
        <v>-2.5943361582907176E-2</v>
      </c>
      <c r="W54" s="31">
        <f t="shared" si="17"/>
        <v>-3.7473744508643693E-2</v>
      </c>
      <c r="X54" s="31">
        <f t="shared" si="18"/>
        <v>-1.3452113413359274E-2</v>
      </c>
    </row>
    <row r="55" spans="1:24" ht="14.25" customHeight="1" x14ac:dyDescent="0.3">
      <c r="A55" s="4"/>
      <c r="B55" s="32">
        <v>51</v>
      </c>
      <c r="C55" s="10">
        <v>5</v>
      </c>
      <c r="D55" s="11">
        <v>2</v>
      </c>
      <c r="E55" s="11">
        <v>3.5</v>
      </c>
      <c r="F55" s="11">
        <v>1</v>
      </c>
      <c r="G55" s="39">
        <v>1</v>
      </c>
      <c r="I55" s="38">
        <f>I54-K2*T54</f>
        <v>0.41539819155927588</v>
      </c>
      <c r="J55" s="40">
        <f>J54-K2*U54</f>
        <v>-0.28560291701681506</v>
      </c>
      <c r="K55" s="40">
        <f>K54-K2*V54</f>
        <v>0.19862018636328044</v>
      </c>
      <c r="L55" s="40">
        <f>L54-K2*W54</f>
        <v>0.60086642647505761</v>
      </c>
      <c r="M55" s="40">
        <f>M54-K2*X54</f>
        <v>0.56974545443955904</v>
      </c>
      <c r="N55" s="35">
        <f t="shared" si="10"/>
        <v>2.057401926304022</v>
      </c>
      <c r="O55" s="35">
        <f t="shared" si="11"/>
        <v>0.88669340824236176</v>
      </c>
      <c r="P55" s="36">
        <f t="shared" si="12"/>
        <v>1</v>
      </c>
      <c r="Q55" s="36">
        <f t="shared" si="13"/>
        <v>-0.11330659175763824</v>
      </c>
      <c r="R55" s="37">
        <f t="shared" si="14"/>
        <v>1.2838383735732095E-2</v>
      </c>
      <c r="T55" s="31">
        <f t="shared" si="15"/>
        <v>-2.276742046191919E-2</v>
      </c>
      <c r="U55" s="31">
        <f t="shared" si="19"/>
        <v>-0.11383710230959596</v>
      </c>
      <c r="V55" s="31">
        <f t="shared" si="16"/>
        <v>-4.5534840923838381E-2</v>
      </c>
      <c r="W55" s="31">
        <f t="shared" si="17"/>
        <v>-7.9685971616717172E-2</v>
      </c>
      <c r="X55" s="31">
        <f t="shared" si="18"/>
        <v>-2.276742046191919E-2</v>
      </c>
    </row>
    <row r="56" spans="1:24" ht="14.25" customHeight="1" x14ac:dyDescent="0.3">
      <c r="A56" s="4"/>
      <c r="B56" s="38">
        <v>52</v>
      </c>
      <c r="C56" s="10">
        <v>5.9</v>
      </c>
      <c r="D56" s="11">
        <v>3</v>
      </c>
      <c r="E56" s="11">
        <v>4.2</v>
      </c>
      <c r="F56" s="11">
        <v>1.5</v>
      </c>
      <c r="G56" s="39">
        <v>1</v>
      </c>
      <c r="I56" s="38">
        <f>I55-K2*T55</f>
        <v>0.41767493360546781</v>
      </c>
      <c r="J56" s="40">
        <f>J55-K2*U55</f>
        <v>-0.27421920678585548</v>
      </c>
      <c r="K56" s="40">
        <f>K55-K2*V55</f>
        <v>0.20317367045566428</v>
      </c>
      <c r="L56" s="40">
        <f>L55-K2*W55</f>
        <v>0.60883502363672937</v>
      </c>
      <c r="M56" s="40">
        <f>M55-K2*X55</f>
        <v>0.57202219648575092</v>
      </c>
      <c r="N56" s="35">
        <f t="shared" si="10"/>
        <v>2.824443018938803</v>
      </c>
      <c r="O56" s="35">
        <f t="shared" si="11"/>
        <v>0.94398247530619761</v>
      </c>
      <c r="P56" s="36">
        <f t="shared" si="12"/>
        <v>1</v>
      </c>
      <c r="Q56" s="36">
        <f t="shared" si="13"/>
        <v>-5.601752469380239E-2</v>
      </c>
      <c r="R56" s="37">
        <f t="shared" si="14"/>
        <v>3.1379630728207604E-3</v>
      </c>
      <c r="T56" s="31">
        <f t="shared" si="15"/>
        <v>-5.9243642978015669E-3</v>
      </c>
      <c r="U56" s="31">
        <f t="shared" si="19"/>
        <v>-3.4953749357029246E-2</v>
      </c>
      <c r="V56" s="31">
        <f t="shared" si="16"/>
        <v>-1.7773092893404702E-2</v>
      </c>
      <c r="W56" s="31">
        <f t="shared" si="17"/>
        <v>-2.4882330050766583E-2</v>
      </c>
      <c r="X56" s="31">
        <f t="shared" si="18"/>
        <v>-8.8865464467023508E-3</v>
      </c>
    </row>
    <row r="57" spans="1:24" ht="14.25" customHeight="1" x14ac:dyDescent="0.3">
      <c r="A57" s="4"/>
      <c r="B57" s="32">
        <v>53</v>
      </c>
      <c r="C57" s="10">
        <v>6</v>
      </c>
      <c r="D57" s="11">
        <v>2.2000000000000002</v>
      </c>
      <c r="E57" s="11">
        <v>4</v>
      </c>
      <c r="F57" s="11">
        <v>1</v>
      </c>
      <c r="G57" s="39">
        <v>1</v>
      </c>
      <c r="I57" s="38">
        <f>I56-K2*T56</f>
        <v>0.41826737003524794</v>
      </c>
      <c r="J57" s="40">
        <f>J56-K2*U56</f>
        <v>-0.27072383185015259</v>
      </c>
      <c r="K57" s="40">
        <f>K56-K2*V56</f>
        <v>0.20495097974500476</v>
      </c>
      <c r="L57" s="40">
        <f>L56-K2*W56</f>
        <v>0.61132325664180598</v>
      </c>
      <c r="M57" s="40">
        <f>M56-K2*X56</f>
        <v>0.57291085113042117</v>
      </c>
      <c r="N57" s="35">
        <f t="shared" si="10"/>
        <v>2.263020412070988</v>
      </c>
      <c r="O57" s="35">
        <f t="shared" si="11"/>
        <v>0.90576774702532004</v>
      </c>
      <c r="P57" s="36">
        <f t="shared" si="12"/>
        <v>1</v>
      </c>
      <c r="Q57" s="36">
        <f t="shared" si="13"/>
        <v>-9.4232252974679964E-2</v>
      </c>
      <c r="R57" s="37">
        <f t="shared" si="14"/>
        <v>8.8797175006840815E-3</v>
      </c>
      <c r="T57" s="31">
        <f t="shared" si="15"/>
        <v>-1.6085923429631853E-2</v>
      </c>
      <c r="U57" s="31">
        <f t="shared" si="19"/>
        <v>-9.6515540577791117E-2</v>
      </c>
      <c r="V57" s="31">
        <f t="shared" si="16"/>
        <v>-3.5389031545190082E-2</v>
      </c>
      <c r="W57" s="31">
        <f t="shared" si="17"/>
        <v>-6.4343693718527412E-2</v>
      </c>
      <c r="X57" s="31">
        <f t="shared" si="18"/>
        <v>-1.6085923429631853E-2</v>
      </c>
    </row>
    <row r="58" spans="1:24" ht="14.25" customHeight="1" x14ac:dyDescent="0.3">
      <c r="A58" s="4"/>
      <c r="B58" s="38">
        <v>54</v>
      </c>
      <c r="C58" s="10">
        <v>6.1</v>
      </c>
      <c r="D58" s="11">
        <v>2.9</v>
      </c>
      <c r="E58" s="11">
        <v>4.7</v>
      </c>
      <c r="F58" s="11">
        <v>1.4</v>
      </c>
      <c r="G58" s="39">
        <v>1</v>
      </c>
      <c r="I58" s="38">
        <f>I57-K2*T57</f>
        <v>0.41987596237821112</v>
      </c>
      <c r="J58" s="40">
        <f>J57-K2*U57</f>
        <v>-0.26107227779237346</v>
      </c>
      <c r="K58" s="40">
        <f>K57-K2*V57</f>
        <v>0.20848988289952378</v>
      </c>
      <c r="L58" s="40">
        <f>L57-K2*W57</f>
        <v>0.61775762601365869</v>
      </c>
      <c r="M58" s="40">
        <f>M57-K2*X57</f>
        <v>0.57451944347338435</v>
      </c>
      <c r="N58" s="35">
        <f t="shared" si="10"/>
        <v>3.1397437913802864</v>
      </c>
      <c r="O58" s="35">
        <f t="shared" si="11"/>
        <v>0.95850269112519382</v>
      </c>
      <c r="P58" s="36">
        <f t="shared" si="12"/>
        <v>1</v>
      </c>
      <c r="Q58" s="36">
        <f t="shared" si="13"/>
        <v>-4.1497308874806182E-2</v>
      </c>
      <c r="R58" s="37">
        <f t="shared" si="14"/>
        <v>1.7220266438510679E-3</v>
      </c>
      <c r="T58" s="31">
        <f t="shared" si="15"/>
        <v>-3.3011343446410686E-3</v>
      </c>
      <c r="U58" s="31">
        <f t="shared" si="19"/>
        <v>-2.0136919502310516E-2</v>
      </c>
      <c r="V58" s="31">
        <f t="shared" si="16"/>
        <v>-9.5732895994590991E-3</v>
      </c>
      <c r="W58" s="31">
        <f t="shared" si="17"/>
        <v>-1.5515331419813023E-2</v>
      </c>
      <c r="X58" s="31">
        <f t="shared" si="18"/>
        <v>-4.6215880824974961E-3</v>
      </c>
    </row>
    <row r="59" spans="1:24" ht="14.25" customHeight="1" x14ac:dyDescent="0.3">
      <c r="A59" s="4"/>
      <c r="B59" s="32">
        <v>55</v>
      </c>
      <c r="C59" s="10">
        <v>5.6</v>
      </c>
      <c r="D59" s="11">
        <v>2.9</v>
      </c>
      <c r="E59" s="11">
        <v>3.6</v>
      </c>
      <c r="F59" s="11">
        <v>1.3</v>
      </c>
      <c r="G59" s="39">
        <v>1</v>
      </c>
      <c r="I59" s="38">
        <f>I58-K2*T58</f>
        <v>0.42020607581267522</v>
      </c>
      <c r="J59" s="40">
        <f>J58-K2*U58</f>
        <v>-0.25905858584214242</v>
      </c>
      <c r="K59" s="40">
        <f>K58-K2*V58</f>
        <v>0.20944721185946968</v>
      </c>
      <c r="L59" s="40">
        <f>L58-K2*W58</f>
        <v>0.61930915915564</v>
      </c>
      <c r="M59" s="40">
        <f>M58-K2*X58</f>
        <v>0.57498160228163409</v>
      </c>
      <c r="N59" s="35">
        <f t="shared" si="10"/>
        <v>2.5538639654155681</v>
      </c>
      <c r="O59" s="35">
        <f t="shared" si="11"/>
        <v>0.92783267079050191</v>
      </c>
      <c r="P59" s="36">
        <f t="shared" si="12"/>
        <v>1</v>
      </c>
      <c r="Q59" s="36">
        <f t="shared" si="13"/>
        <v>-7.2167329209498088E-2</v>
      </c>
      <c r="R59" s="37">
        <f t="shared" si="14"/>
        <v>5.2081234052320756E-3</v>
      </c>
      <c r="T59" s="31">
        <f t="shared" si="15"/>
        <v>-9.6645340977660008E-3</v>
      </c>
      <c r="U59" s="31">
        <f t="shared" si="19"/>
        <v>-5.4121390947489599E-2</v>
      </c>
      <c r="V59" s="31">
        <f t="shared" si="16"/>
        <v>-2.80271488835214E-2</v>
      </c>
      <c r="W59" s="31">
        <f t="shared" si="17"/>
        <v>-3.4792322751957601E-2</v>
      </c>
      <c r="X59" s="31">
        <f t="shared" si="18"/>
        <v>-1.2563894327095801E-2</v>
      </c>
    </row>
    <row r="60" spans="1:24" ht="14.25" customHeight="1" x14ac:dyDescent="0.3">
      <c r="A60" s="4"/>
      <c r="B60" s="38">
        <v>56</v>
      </c>
      <c r="C60" s="10">
        <v>6.7</v>
      </c>
      <c r="D60" s="11">
        <v>3.1</v>
      </c>
      <c r="E60" s="11">
        <v>4.4000000000000004</v>
      </c>
      <c r="F60" s="11">
        <v>1.4</v>
      </c>
      <c r="G60" s="39">
        <v>1</v>
      </c>
      <c r="I60" s="38">
        <f>I59-K2*T59</f>
        <v>0.4211725292224518</v>
      </c>
      <c r="J60" s="40">
        <f>J59-K2*U59</f>
        <v>-0.25364644674739345</v>
      </c>
      <c r="K60" s="40">
        <f>K59-K2*V59</f>
        <v>0.21224992674782184</v>
      </c>
      <c r="L60" s="40">
        <f>L59-K2*W59</f>
        <v>0.62278839143083575</v>
      </c>
      <c r="M60" s="40">
        <f>M59-K2*X59</f>
        <v>0.57623799171434364</v>
      </c>
      <c r="N60" s="35">
        <f t="shared" si="10"/>
        <v>2.9267182196289214</v>
      </c>
      <c r="O60" s="35">
        <f t="shared" si="11"/>
        <v>0.94915152005646031</v>
      </c>
      <c r="P60" s="36">
        <f t="shared" si="12"/>
        <v>1</v>
      </c>
      <c r="Q60" s="36">
        <f t="shared" si="13"/>
        <v>-5.0848479943539693E-2</v>
      </c>
      <c r="R60" s="37">
        <f t="shared" si="14"/>
        <v>2.5855679125685585E-3</v>
      </c>
      <c r="T60" s="31">
        <f t="shared" si="15"/>
        <v>-4.9081914288473128E-3</v>
      </c>
      <c r="U60" s="31">
        <f t="shared" si="19"/>
        <v>-3.2884882573276999E-2</v>
      </c>
      <c r="V60" s="31">
        <f t="shared" si="16"/>
        <v>-1.521539342942667E-2</v>
      </c>
      <c r="W60" s="31">
        <f t="shared" si="17"/>
        <v>-2.1596042286928178E-2</v>
      </c>
      <c r="X60" s="31">
        <f t="shared" si="18"/>
        <v>-6.8714680003862374E-3</v>
      </c>
    </row>
    <row r="61" spans="1:24" ht="14.25" customHeight="1" x14ac:dyDescent="0.3">
      <c r="A61" s="4"/>
      <c r="B61" s="32">
        <v>57</v>
      </c>
      <c r="C61" s="10">
        <v>5.6</v>
      </c>
      <c r="D61" s="11">
        <v>3</v>
      </c>
      <c r="E61" s="11">
        <v>4.5</v>
      </c>
      <c r="F61" s="11">
        <v>1.5</v>
      </c>
      <c r="G61" s="39">
        <v>1</v>
      </c>
      <c r="I61" s="38">
        <f>I60-K2*T60</f>
        <v>0.42166334836533653</v>
      </c>
      <c r="J61" s="40">
        <f>J60-K2*U60</f>
        <v>-0.25035795849006576</v>
      </c>
      <c r="K61" s="40">
        <f>K60-K2*V60</f>
        <v>0.2137714660907645</v>
      </c>
      <c r="L61" s="40">
        <f>L60-K2*W60</f>
        <v>0.62494799565952852</v>
      </c>
      <c r="M61" s="40">
        <f>M60-K2*X60</f>
        <v>0.57692513851438232</v>
      </c>
      <c r="N61" s="35">
        <f t="shared" si="10"/>
        <v>3.3386268673327137</v>
      </c>
      <c r="O61" s="35">
        <f t="shared" si="11"/>
        <v>0.96573042730027381</v>
      </c>
      <c r="P61" s="36">
        <f t="shared" si="12"/>
        <v>1</v>
      </c>
      <c r="Q61" s="36">
        <f t="shared" si="13"/>
        <v>-3.4269572699726192E-2</v>
      </c>
      <c r="R61" s="37">
        <f t="shared" si="14"/>
        <v>1.1744036130218187E-3</v>
      </c>
      <c r="T61" s="31">
        <f t="shared" si="15"/>
        <v>-2.2683146060530927E-3</v>
      </c>
      <c r="U61" s="31">
        <f t="shared" si="19"/>
        <v>-1.2702561793897319E-2</v>
      </c>
      <c r="V61" s="31">
        <f t="shared" si="16"/>
        <v>-6.8049438181592781E-3</v>
      </c>
      <c r="W61" s="31">
        <f t="shared" si="17"/>
        <v>-1.0207415727238918E-2</v>
      </c>
      <c r="X61" s="31">
        <f t="shared" si="18"/>
        <v>-3.4024719090796391E-3</v>
      </c>
    </row>
    <row r="62" spans="1:24" ht="14.25" customHeight="1" x14ac:dyDescent="0.3">
      <c r="A62" s="4"/>
      <c r="B62" s="38">
        <v>58</v>
      </c>
      <c r="C62" s="10">
        <v>5.8</v>
      </c>
      <c r="D62" s="11">
        <v>2.7</v>
      </c>
      <c r="E62" s="11">
        <v>4.0999999999999996</v>
      </c>
      <c r="F62" s="11">
        <v>1</v>
      </c>
      <c r="G62" s="39">
        <v>1</v>
      </c>
      <c r="I62" s="38">
        <f>I61-K2*T61</f>
        <v>0.42189017982594185</v>
      </c>
      <c r="J62" s="40">
        <f>J61-K2*U61</f>
        <v>-0.24908770231067603</v>
      </c>
      <c r="K62" s="40">
        <f>K61-K2*V61</f>
        <v>0.21445196047258042</v>
      </c>
      <c r="L62" s="40">
        <f>L61-K2*W61</f>
        <v>0.62596873723225244</v>
      </c>
      <c r="M62" s="40">
        <f>M61-K2*X61</f>
        <v>0.57726538570529029</v>
      </c>
      <c r="N62" s="35">
        <f t="shared" si="10"/>
        <v>2.6999390080575134</v>
      </c>
      <c r="O62" s="35">
        <f t="shared" si="11"/>
        <v>0.93702304485206445</v>
      </c>
      <c r="P62" s="36">
        <f t="shared" si="12"/>
        <v>1</v>
      </c>
      <c r="Q62" s="36">
        <f t="shared" si="13"/>
        <v>-6.2976955147935554E-2</v>
      </c>
      <c r="R62" s="37">
        <f t="shared" si="14"/>
        <v>3.9660968797050862E-3</v>
      </c>
      <c r="T62" s="31">
        <f t="shared" si="15"/>
        <v>-7.4326483487990634E-3</v>
      </c>
      <c r="U62" s="31">
        <f t="shared" si="19"/>
        <v>-4.3109360423034565E-2</v>
      </c>
      <c r="V62" s="31">
        <f t="shared" si="16"/>
        <v>-2.0068150541757472E-2</v>
      </c>
      <c r="W62" s="31">
        <f t="shared" si="17"/>
        <v>-3.0473858230076159E-2</v>
      </c>
      <c r="X62" s="31">
        <f t="shared" si="18"/>
        <v>-7.4326483487990634E-3</v>
      </c>
    </row>
    <row r="63" spans="1:24" ht="14.25" customHeight="1" x14ac:dyDescent="0.3">
      <c r="A63" s="4"/>
      <c r="B63" s="32">
        <v>59</v>
      </c>
      <c r="C63" s="10">
        <v>6.2</v>
      </c>
      <c r="D63" s="11">
        <v>2.2000000000000002</v>
      </c>
      <c r="E63" s="11">
        <v>4.5</v>
      </c>
      <c r="F63" s="11">
        <v>1.5</v>
      </c>
      <c r="G63" s="39">
        <v>1</v>
      </c>
      <c r="I63" s="38">
        <f>I62-K2*T62</f>
        <v>0.42263344466082176</v>
      </c>
      <c r="J63" s="40">
        <f>J62-K2*U62</f>
        <v>-0.24477676626837258</v>
      </c>
      <c r="K63" s="40">
        <f>K62-K2*V62</f>
        <v>0.21645877552675616</v>
      </c>
      <c r="L63" s="40">
        <f>L62-K2*W62</f>
        <v>0.62901612305526</v>
      </c>
      <c r="M63" s="40">
        <f>M62-K2*X62</f>
        <v>0.57800865054017014</v>
      </c>
      <c r="N63" s="35">
        <f t="shared" si="10"/>
        <v>3.0788123295147005</v>
      </c>
      <c r="O63" s="35">
        <f t="shared" si="11"/>
        <v>0.95601026459288352</v>
      </c>
      <c r="P63" s="36">
        <f t="shared" si="12"/>
        <v>1</v>
      </c>
      <c r="Q63" s="36">
        <f t="shared" si="13"/>
        <v>-4.3989735407116481E-2</v>
      </c>
      <c r="R63" s="37">
        <f t="shared" si="14"/>
        <v>1.9350968211881174E-3</v>
      </c>
      <c r="T63" s="31">
        <f t="shared" si="15"/>
        <v>-3.6999448480737997E-3</v>
      </c>
      <c r="U63" s="31">
        <f t="shared" si="19"/>
        <v>-2.293965805805756E-2</v>
      </c>
      <c r="V63" s="31">
        <f t="shared" si="16"/>
        <v>-8.1398786657623599E-3</v>
      </c>
      <c r="W63" s="31">
        <f t="shared" si="17"/>
        <v>-1.66497518163321E-2</v>
      </c>
      <c r="X63" s="31">
        <f t="shared" si="18"/>
        <v>-5.5499172721107E-3</v>
      </c>
    </row>
    <row r="64" spans="1:24" ht="14.25" customHeight="1" x14ac:dyDescent="0.3">
      <c r="A64" s="4"/>
      <c r="B64" s="38">
        <v>60</v>
      </c>
      <c r="C64" s="10">
        <v>5.6</v>
      </c>
      <c r="D64" s="11">
        <v>2.5</v>
      </c>
      <c r="E64" s="11">
        <v>3.9</v>
      </c>
      <c r="F64" s="11">
        <v>1.1000000000000001</v>
      </c>
      <c r="G64" s="39">
        <v>1</v>
      </c>
      <c r="I64" s="38">
        <f>I63-K2*T63</f>
        <v>0.42300343914562916</v>
      </c>
      <c r="J64" s="40">
        <f>J63-K2*U63</f>
        <v>-0.24248280046256682</v>
      </c>
      <c r="K64" s="40">
        <f>K63-K2*V63</f>
        <v>0.2172727633933324</v>
      </c>
      <c r="L64" s="40">
        <f>L63-K2*W63</f>
        <v>0.63068109823689322</v>
      </c>
      <c r="M64" s="40">
        <f>M63-K2*X63</f>
        <v>0.57856364226738122</v>
      </c>
      <c r="N64" s="35">
        <f t="shared" si="10"/>
        <v>2.7043579546565888</v>
      </c>
      <c r="O64" s="35">
        <f t="shared" si="11"/>
        <v>0.93728330764531198</v>
      </c>
      <c r="P64" s="36">
        <f t="shared" si="12"/>
        <v>1</v>
      </c>
      <c r="Q64" s="36">
        <f t="shared" si="13"/>
        <v>-6.271669235468802E-2</v>
      </c>
      <c r="R64" s="37">
        <f t="shared" si="14"/>
        <v>3.933383499912583E-3</v>
      </c>
      <c r="T64" s="31">
        <f t="shared" si="15"/>
        <v>-7.3733893940711188E-3</v>
      </c>
      <c r="U64" s="31">
        <f t="shared" si="19"/>
        <v>-4.1290980606798262E-2</v>
      </c>
      <c r="V64" s="31">
        <f t="shared" si="16"/>
        <v>-1.8433473485177796E-2</v>
      </c>
      <c r="W64" s="31">
        <f t="shared" si="17"/>
        <v>-2.8756218636877363E-2</v>
      </c>
      <c r="X64" s="31">
        <f t="shared" si="18"/>
        <v>-8.1107283334782305E-3</v>
      </c>
    </row>
    <row r="65" spans="1:24" ht="14.25" customHeight="1" x14ac:dyDescent="0.3">
      <c r="A65" s="4"/>
      <c r="B65" s="32">
        <v>61</v>
      </c>
      <c r="C65" s="10">
        <v>5.9</v>
      </c>
      <c r="D65" s="11">
        <v>3.2</v>
      </c>
      <c r="E65" s="11">
        <v>4.8</v>
      </c>
      <c r="F65" s="11">
        <v>1.8</v>
      </c>
      <c r="G65" s="39">
        <v>1</v>
      </c>
      <c r="I65" s="38">
        <f>I64-K2*T64</f>
        <v>0.4237407780850363</v>
      </c>
      <c r="J65" s="40">
        <f>J64-K2*U64</f>
        <v>-0.238353702401887</v>
      </c>
      <c r="K65" s="40">
        <f>K64-K2*V64</f>
        <v>0.2191161107418502</v>
      </c>
      <c r="L65" s="40">
        <f>L64-K2*W64</f>
        <v>0.63355672010058095</v>
      </c>
      <c r="M65" s="40">
        <f>M64-K2*X64</f>
        <v>0.57937471510072902</v>
      </c>
      <c r="N65" s="35">
        <f t="shared" si="10"/>
        <v>3.8025722319519248</v>
      </c>
      <c r="O65" s="35">
        <f t="shared" si="11"/>
        <v>0.97817371355711746</v>
      </c>
      <c r="P65" s="36">
        <f t="shared" si="12"/>
        <v>1</v>
      </c>
      <c r="Q65" s="36">
        <f t="shared" si="13"/>
        <v>-2.1826286442882536E-2</v>
      </c>
      <c r="R65" s="37">
        <f t="shared" si="14"/>
        <v>4.7638677988675801E-4</v>
      </c>
      <c r="T65" s="31">
        <f t="shared" si="15"/>
        <v>-9.3197805114269444E-4</v>
      </c>
      <c r="U65" s="31">
        <f t="shared" si="19"/>
        <v>-5.4986705017418978E-3</v>
      </c>
      <c r="V65" s="31">
        <f t="shared" si="16"/>
        <v>-2.9823297636566225E-3</v>
      </c>
      <c r="W65" s="31">
        <f t="shared" si="17"/>
        <v>-4.4734946454849335E-3</v>
      </c>
      <c r="X65" s="31">
        <f t="shared" si="18"/>
        <v>-1.6775604920568499E-3</v>
      </c>
    </row>
    <row r="66" spans="1:24" ht="14.25" customHeight="1" x14ac:dyDescent="0.3">
      <c r="A66" s="4"/>
      <c r="B66" s="38">
        <v>62</v>
      </c>
      <c r="C66" s="10">
        <v>6.1</v>
      </c>
      <c r="D66" s="11">
        <v>2.8</v>
      </c>
      <c r="E66" s="11">
        <v>4</v>
      </c>
      <c r="F66" s="11">
        <v>1.3</v>
      </c>
      <c r="G66" s="39">
        <v>1</v>
      </c>
      <c r="I66" s="38">
        <f>I65-K2*T65</f>
        <v>0.42383397589015054</v>
      </c>
      <c r="J66" s="40">
        <f>J65-K2*U65</f>
        <v>-0.23780383535171282</v>
      </c>
      <c r="K66" s="40">
        <f>K65-K2*V65</f>
        <v>0.21941434371821586</v>
      </c>
      <c r="L66" s="40">
        <f>L65-K2*W65</f>
        <v>0.63400406956512945</v>
      </c>
      <c r="M66" s="40">
        <f>M65-K2*X65</f>
        <v>0.57954247114993473</v>
      </c>
      <c r="N66" s="35">
        <f t="shared" si="10"/>
        <v>2.8770122334111399</v>
      </c>
      <c r="O66" s="35">
        <f t="shared" si="11"/>
        <v>0.94669830008007216</v>
      </c>
      <c r="P66" s="36">
        <f t="shared" si="12"/>
        <v>1</v>
      </c>
      <c r="Q66" s="36">
        <f t="shared" si="13"/>
        <v>-5.3301699919927836E-2</v>
      </c>
      <c r="R66" s="37">
        <f t="shared" si="14"/>
        <v>2.8410712143540351E-3</v>
      </c>
      <c r="T66" s="31">
        <f t="shared" si="15"/>
        <v>-5.3792745780707829E-3</v>
      </c>
      <c r="U66" s="31">
        <f t="shared" si="19"/>
        <v>-3.2813574926231777E-2</v>
      </c>
      <c r="V66" s="31">
        <f t="shared" si="16"/>
        <v>-1.5061968818598191E-2</v>
      </c>
      <c r="W66" s="31">
        <f t="shared" si="17"/>
        <v>-2.1517098312283132E-2</v>
      </c>
      <c r="X66" s="31">
        <f t="shared" si="18"/>
        <v>-6.9930569514920181E-3</v>
      </c>
    </row>
    <row r="67" spans="1:24" ht="14.25" customHeight="1" x14ac:dyDescent="0.3">
      <c r="A67" s="4"/>
      <c r="B67" s="32">
        <v>63</v>
      </c>
      <c r="C67" s="10">
        <v>6.3</v>
      </c>
      <c r="D67" s="11">
        <v>2.5</v>
      </c>
      <c r="E67" s="11">
        <v>4.9000000000000004</v>
      </c>
      <c r="F67" s="11">
        <v>1.5</v>
      </c>
      <c r="G67" s="39">
        <v>1</v>
      </c>
      <c r="I67" s="38">
        <f>I66-K2*T66</f>
        <v>0.4243719033479576</v>
      </c>
      <c r="J67" s="40">
        <f>J66-K2*U66</f>
        <v>-0.23452247785908964</v>
      </c>
      <c r="K67" s="40">
        <f>K66-K2*V66</f>
        <v>0.22092054060007568</v>
      </c>
      <c r="L67" s="40">
        <f>L66-K2*W66</f>
        <v>0.63615577939635781</v>
      </c>
      <c r="M67" s="40">
        <f>M66-K2*X66</f>
        <v>0.58024177684508393</v>
      </c>
      <c r="N67" s="35">
        <f t="shared" si="10"/>
        <v>3.4867076286456617</v>
      </c>
      <c r="O67" s="35">
        <f t="shared" si="11"/>
        <v>0.97030718554928697</v>
      </c>
      <c r="P67" s="36">
        <f t="shared" si="12"/>
        <v>1</v>
      </c>
      <c r="Q67" s="36">
        <f t="shared" si="13"/>
        <v>-2.9692814450713034E-2</v>
      </c>
      <c r="R67" s="37">
        <f t="shared" si="14"/>
        <v>8.816632300044728E-4</v>
      </c>
      <c r="T67" s="31">
        <f t="shared" si="15"/>
        <v>-1.7109683346158673E-3</v>
      </c>
      <c r="U67" s="31">
        <f t="shared" si="19"/>
        <v>-1.0779100508079963E-2</v>
      </c>
      <c r="V67" s="31">
        <f t="shared" si="16"/>
        <v>-4.2774208365396679E-3</v>
      </c>
      <c r="W67" s="31">
        <f t="shared" si="17"/>
        <v>-8.3837448396177506E-3</v>
      </c>
      <c r="X67" s="31">
        <f t="shared" si="18"/>
        <v>-2.566452501923801E-3</v>
      </c>
    </row>
    <row r="68" spans="1:24" ht="14.25" customHeight="1" x14ac:dyDescent="0.3">
      <c r="A68" s="4"/>
      <c r="B68" s="38">
        <v>64</v>
      </c>
      <c r="C68" s="10">
        <v>6.1</v>
      </c>
      <c r="D68" s="11">
        <v>2.8</v>
      </c>
      <c r="E68" s="11">
        <v>4.7</v>
      </c>
      <c r="F68" s="11">
        <v>1.2</v>
      </c>
      <c r="G68" s="39">
        <v>1</v>
      </c>
      <c r="I68" s="38">
        <f>I67-K2*T67</f>
        <v>0.42454300018141916</v>
      </c>
      <c r="J68" s="40">
        <f>J67-K2*U67</f>
        <v>-0.23344456780828166</v>
      </c>
      <c r="K68" s="40">
        <f>K67-K2*V67</f>
        <v>0.22134828268372964</v>
      </c>
      <c r="L68" s="40">
        <f>L67-K2*W67</f>
        <v>0.63699415388031955</v>
      </c>
      <c r="M68" s="40">
        <f>M67-K2*X67</f>
        <v>0.58049842209527636</v>
      </c>
      <c r="N68" s="35">
        <f t="shared" si="10"/>
        <v>3.3107769578171773</v>
      </c>
      <c r="O68" s="35">
        <f t="shared" si="11"/>
        <v>0.96479667895784937</v>
      </c>
      <c r="P68" s="36">
        <f t="shared" si="12"/>
        <v>1</v>
      </c>
      <c r="Q68" s="36">
        <f t="shared" si="13"/>
        <v>-3.5203321042150626E-2</v>
      </c>
      <c r="R68" s="37">
        <f t="shared" si="14"/>
        <v>1.2392738123967251E-3</v>
      </c>
      <c r="T68" s="31">
        <f t="shared" si="15"/>
        <v>-2.3912945170395865E-3</v>
      </c>
      <c r="U68" s="31">
        <f t="shared" si="19"/>
        <v>-1.4586896553941476E-2</v>
      </c>
      <c r="V68" s="31">
        <f t="shared" si="16"/>
        <v>-6.6956246477108414E-3</v>
      </c>
      <c r="W68" s="31">
        <f t="shared" si="17"/>
        <v>-1.1239084230086056E-2</v>
      </c>
      <c r="X68" s="31">
        <f t="shared" si="18"/>
        <v>-2.8695534204475036E-3</v>
      </c>
    </row>
    <row r="69" spans="1:24" ht="14.25" customHeight="1" x14ac:dyDescent="0.3">
      <c r="A69" s="4"/>
      <c r="B69" s="32">
        <v>65</v>
      </c>
      <c r="C69" s="10">
        <v>6.4</v>
      </c>
      <c r="D69" s="11">
        <v>2.9</v>
      </c>
      <c r="E69" s="11">
        <v>4.3</v>
      </c>
      <c r="F69" s="11">
        <v>1.3</v>
      </c>
      <c r="G69" s="39">
        <v>1</v>
      </c>
      <c r="I69" s="38">
        <f>I68-K2*T68</f>
        <v>0.42478212963312312</v>
      </c>
      <c r="J69" s="40">
        <f>J68-K2*U68</f>
        <v>-0.23198587815288751</v>
      </c>
      <c r="K69" s="40">
        <f>K68-K2*V68</f>
        <v>0.22201784514850073</v>
      </c>
      <c r="L69" s="40">
        <f>L68-K2*W68</f>
        <v>0.63811806230332813</v>
      </c>
      <c r="M69" s="40">
        <f>M68-K2*X68</f>
        <v>0.58078537743732106</v>
      </c>
      <c r="N69" s="35">
        <f t="shared" ref="N69:N84" si="20">I69+J69*C69+K69*D69+L69*E69+F69*M69</f>
        <v>3.0828529189581233</v>
      </c>
      <c r="O69" s="35">
        <f t="shared" ref="O69:O84" si="21">1/(1+EXP(-N69))</f>
        <v>0.95617987737076937</v>
      </c>
      <c r="P69" s="36">
        <f t="shared" ref="P69:P84" si="22">IF(O69&gt;0.5,1,0)</f>
        <v>1</v>
      </c>
      <c r="Q69" s="36">
        <f t="shared" ref="Q69:Q84" si="23">O69-G69</f>
        <v>-4.3820122629230629E-2</v>
      </c>
      <c r="R69" s="37">
        <f t="shared" ref="R69:R84" si="24">Q69^2</f>
        <v>1.9202031472408104E-3</v>
      </c>
      <c r="T69" s="31">
        <f t="shared" ref="T69:T84" si="25">2*(O69-G69)*(1-O69)*O69</f>
        <v>-3.6721192197113669E-3</v>
      </c>
      <c r="U69" s="31">
        <f t="shared" si="19"/>
        <v>-2.3501563006152748E-2</v>
      </c>
      <c r="V69" s="31">
        <f t="shared" ref="V69:V84" si="26">2*(O69-G69)*(1-O69)*O69*D69</f>
        <v>-1.0649145737162963E-2</v>
      </c>
      <c r="W69" s="31">
        <f t="shared" ref="W69:W84" si="27">2*(O69-G69)*(1-O69)*O69*E69</f>
        <v>-1.5790112644758877E-2</v>
      </c>
      <c r="X69" s="31">
        <f t="shared" ref="X69:X84" si="28">2*(O69-G69)*(1-O69)*O69*F69</f>
        <v>-4.773754985624777E-3</v>
      </c>
    </row>
    <row r="70" spans="1:24" ht="14.25" customHeight="1" x14ac:dyDescent="0.3">
      <c r="A70" s="4"/>
      <c r="B70" s="38">
        <v>66</v>
      </c>
      <c r="C70" s="10">
        <v>6.6</v>
      </c>
      <c r="D70" s="11">
        <v>3</v>
      </c>
      <c r="E70" s="11">
        <v>4.4000000000000004</v>
      </c>
      <c r="F70" s="11">
        <v>1.4</v>
      </c>
      <c r="G70" s="39">
        <v>1</v>
      </c>
      <c r="I70" s="38">
        <f>I69-K2*T69</f>
        <v>0.42514934155509426</v>
      </c>
      <c r="J70" s="40">
        <f>J69-K2*U69</f>
        <v>-0.22963572185227224</v>
      </c>
      <c r="K70" s="40">
        <f>K69-K2*V69</f>
        <v>0.22308275972221703</v>
      </c>
      <c r="L70" s="40">
        <f>L69-K2*W69</f>
        <v>0.63969707356780403</v>
      </c>
      <c r="M70" s="40">
        <f>M69-K2*X69</f>
        <v>0.58126275293588359</v>
      </c>
      <c r="N70" s="35">
        <f t="shared" si="20"/>
        <v>3.2072368343053235</v>
      </c>
      <c r="O70" s="35">
        <f t="shared" si="21"/>
        <v>0.96110570568626097</v>
      </c>
      <c r="P70" s="36">
        <f t="shared" si="22"/>
        <v>1</v>
      </c>
      <c r="Q70" s="36">
        <f t="shared" si="23"/>
        <v>-3.8894294313739031E-2</v>
      </c>
      <c r="R70" s="37">
        <f t="shared" si="24"/>
        <v>1.5127661301637522E-3</v>
      </c>
      <c r="T70" s="31">
        <f t="shared" si="25"/>
        <v>-2.9078563181386143E-3</v>
      </c>
      <c r="U70" s="31">
        <f t="shared" si="19"/>
        <v>-1.9191851699714855E-2</v>
      </c>
      <c r="V70" s="31">
        <f t="shared" si="26"/>
        <v>-8.7235689544158425E-3</v>
      </c>
      <c r="W70" s="31">
        <f t="shared" si="27"/>
        <v>-1.2794567799809904E-2</v>
      </c>
      <c r="X70" s="31">
        <f t="shared" si="28"/>
        <v>-4.0709988453940596E-3</v>
      </c>
    </row>
    <row r="71" spans="1:24" ht="14.25" customHeight="1" x14ac:dyDescent="0.3">
      <c r="A71" s="4"/>
      <c r="B71" s="32">
        <v>67</v>
      </c>
      <c r="C71" s="10">
        <v>6.8</v>
      </c>
      <c r="D71" s="11">
        <v>2.8</v>
      </c>
      <c r="E71" s="11">
        <v>4.8</v>
      </c>
      <c r="F71" s="11">
        <v>1.4</v>
      </c>
      <c r="G71" s="39">
        <v>1</v>
      </c>
      <c r="I71" s="38">
        <f>I70-K2*T70</f>
        <v>0.4254401271869081</v>
      </c>
      <c r="J71" s="40">
        <f>J70-K2*U70</f>
        <v>-0.22771653668230074</v>
      </c>
      <c r="K71" s="40">
        <f>K70-K2*V70</f>
        <v>0.2239551166176586</v>
      </c>
      <c r="L71" s="40">
        <f>L70-K2*W70</f>
        <v>0.64097653034778501</v>
      </c>
      <c r="M71" s="40">
        <f>M70-K2*X70</f>
        <v>0.58166985282042294</v>
      </c>
      <c r="N71" s="35">
        <f t="shared" si="20"/>
        <v>3.3950671438946678</v>
      </c>
      <c r="O71" s="35">
        <f t="shared" si="21"/>
        <v>0.96755001519267736</v>
      </c>
      <c r="P71" s="36">
        <f t="shared" si="22"/>
        <v>1</v>
      </c>
      <c r="Q71" s="36">
        <f t="shared" si="23"/>
        <v>-3.244998480732264E-2</v>
      </c>
      <c r="R71" s="37">
        <f t="shared" si="24"/>
        <v>1.0530015139954701E-3</v>
      </c>
      <c r="T71" s="31">
        <f t="shared" si="25"/>
        <v>-2.0376632617284587E-3</v>
      </c>
      <c r="U71" s="31">
        <f t="shared" si="19"/>
        <v>-1.3856110179753519E-2</v>
      </c>
      <c r="V71" s="31">
        <f t="shared" si="26"/>
        <v>-5.7054571328396843E-3</v>
      </c>
      <c r="W71" s="31">
        <f t="shared" si="27"/>
        <v>-9.7807836562966016E-3</v>
      </c>
      <c r="X71" s="31">
        <f t="shared" si="28"/>
        <v>-2.8527285664198421E-3</v>
      </c>
    </row>
    <row r="72" spans="1:24" ht="14.25" customHeight="1" x14ac:dyDescent="0.3">
      <c r="A72" s="4"/>
      <c r="B72" s="38">
        <v>68</v>
      </c>
      <c r="C72" s="10">
        <v>6.7</v>
      </c>
      <c r="D72" s="11">
        <v>3</v>
      </c>
      <c r="E72" s="11">
        <v>5</v>
      </c>
      <c r="F72" s="11">
        <v>1.7</v>
      </c>
      <c r="G72" s="39">
        <v>1</v>
      </c>
      <c r="I72" s="38">
        <f>I71-K2*T71</f>
        <v>0.42564389351308096</v>
      </c>
      <c r="J72" s="40">
        <f>J71-K2*U71</f>
        <v>-0.22633092566432539</v>
      </c>
      <c r="K72" s="40">
        <f>K71-K2*V71</f>
        <v>0.22452566233094257</v>
      </c>
      <c r="L72" s="40">
        <f>L71-K2*W71</f>
        <v>0.6419546087134147</v>
      </c>
      <c r="M72" s="40">
        <f>M71-K2*X71</f>
        <v>0.58195512567706498</v>
      </c>
      <c r="N72" s="35">
        <f t="shared" si="20"/>
        <v>3.7819004357730126</v>
      </c>
      <c r="O72" s="35">
        <f t="shared" si="21"/>
        <v>0.9777279827356169</v>
      </c>
      <c r="P72" s="36">
        <f t="shared" si="22"/>
        <v>1</v>
      </c>
      <c r="Q72" s="36">
        <f t="shared" si="23"/>
        <v>-2.2272017264383104E-2</v>
      </c>
      <c r="R72" s="37">
        <f t="shared" si="24"/>
        <v>4.9604275302497899E-4</v>
      </c>
      <c r="T72" s="31">
        <f t="shared" si="25"/>
        <v>-9.6998976053146906E-4</v>
      </c>
      <c r="U72" s="31">
        <f t="shared" si="19"/>
        <v>-6.4989313955608431E-3</v>
      </c>
      <c r="V72" s="31">
        <f t="shared" si="26"/>
        <v>-2.9099692815944072E-3</v>
      </c>
      <c r="W72" s="31">
        <f t="shared" si="27"/>
        <v>-4.8499488026573449E-3</v>
      </c>
      <c r="X72" s="31">
        <f t="shared" si="28"/>
        <v>-1.6489825929034974E-3</v>
      </c>
    </row>
    <row r="73" spans="1:24" ht="14.25" customHeight="1" x14ac:dyDescent="0.3">
      <c r="A73" s="4"/>
      <c r="B73" s="32">
        <v>69</v>
      </c>
      <c r="C73" s="10">
        <v>6</v>
      </c>
      <c r="D73" s="11">
        <v>2.9</v>
      </c>
      <c r="E73" s="11">
        <v>4.5</v>
      </c>
      <c r="F73" s="11">
        <v>1.5</v>
      </c>
      <c r="G73" s="39">
        <v>1</v>
      </c>
      <c r="I73" s="38">
        <f>I72-K2*T72</f>
        <v>0.4257408924891341</v>
      </c>
      <c r="J73" s="40">
        <f>J72-K2*U72</f>
        <v>-0.22568103252476931</v>
      </c>
      <c r="K73" s="40">
        <f>K72-K2*V72</f>
        <v>0.22481665925910202</v>
      </c>
      <c r="L73" s="40">
        <f>L72-K2*W72</f>
        <v>0.64243960359368046</v>
      </c>
      <c r="M73" s="40">
        <f>M72-K2*X72</f>
        <v>0.58212002393635531</v>
      </c>
      <c r="N73" s="35">
        <f t="shared" si="20"/>
        <v>3.487781261268009</v>
      </c>
      <c r="O73" s="35">
        <f t="shared" si="21"/>
        <v>0.9703381025270249</v>
      </c>
      <c r="P73" s="36">
        <f t="shared" si="22"/>
        <v>1</v>
      </c>
      <c r="Q73" s="36">
        <f t="shared" si="23"/>
        <v>-2.9661897472975096E-2</v>
      </c>
      <c r="R73" s="37">
        <f t="shared" si="24"/>
        <v>8.7982816169728635E-4</v>
      </c>
      <c r="T73" s="31">
        <f t="shared" si="25"/>
        <v>-1.7074615779423706E-3</v>
      </c>
      <c r="U73" s="31">
        <f t="shared" ref="U73:U84" si="29">2*(O73-G73)*(1-O73)*O73*C73</f>
        <v>-1.0244769467654223E-2</v>
      </c>
      <c r="V73" s="31">
        <f t="shared" si="26"/>
        <v>-4.9516385760328746E-3</v>
      </c>
      <c r="W73" s="31">
        <f t="shared" si="27"/>
        <v>-7.683577100740668E-3</v>
      </c>
      <c r="X73" s="31">
        <f t="shared" si="28"/>
        <v>-2.5611923669135559E-3</v>
      </c>
    </row>
    <row r="74" spans="1:24" ht="14.25" customHeight="1" x14ac:dyDescent="0.3">
      <c r="A74" s="4"/>
      <c r="B74" s="38">
        <v>70</v>
      </c>
      <c r="C74" s="10">
        <v>5.7</v>
      </c>
      <c r="D74" s="11">
        <v>2.6</v>
      </c>
      <c r="E74" s="11">
        <v>3.5</v>
      </c>
      <c r="F74" s="11">
        <v>1</v>
      </c>
      <c r="G74" s="39">
        <v>1</v>
      </c>
      <c r="I74" s="38">
        <f>I73-K2*T73</f>
        <v>0.42591163864692833</v>
      </c>
      <c r="J74" s="40">
        <f>J73-K2*U73</f>
        <v>-0.2246565555780039</v>
      </c>
      <c r="K74" s="40">
        <f>K73-K2*V73</f>
        <v>0.22531182311670531</v>
      </c>
      <c r="L74" s="40">
        <f>L73-K2*W73</f>
        <v>0.64320796130375457</v>
      </c>
      <c r="M74" s="40">
        <f>M73-K2*X73</f>
        <v>0.58237614317304665</v>
      </c>
      <c r="N74" s="35">
        <f t="shared" si="20"/>
        <v>2.5647840196919276</v>
      </c>
      <c r="O74" s="35">
        <f t="shared" si="21"/>
        <v>0.92856046151370097</v>
      </c>
      <c r="P74" s="36">
        <f t="shared" si="22"/>
        <v>1</v>
      </c>
      <c r="Q74" s="36">
        <f t="shared" si="23"/>
        <v>-7.1439538486299026E-2</v>
      </c>
      <c r="R74" s="37">
        <f t="shared" si="24"/>
        <v>5.1036076591353995E-3</v>
      </c>
      <c r="T74" s="31">
        <f t="shared" si="25"/>
        <v>-9.4780165667032509E-3</v>
      </c>
      <c r="U74" s="31">
        <f t="shared" si="29"/>
        <v>-5.4024694430208534E-2</v>
      </c>
      <c r="V74" s="31">
        <f t="shared" si="26"/>
        <v>-2.4642843073428452E-2</v>
      </c>
      <c r="W74" s="31">
        <f t="shared" si="27"/>
        <v>-3.3173057983461381E-2</v>
      </c>
      <c r="X74" s="31">
        <f t="shared" si="28"/>
        <v>-9.4780165667032509E-3</v>
      </c>
    </row>
    <row r="75" spans="1:24" ht="14.25" customHeight="1" x14ac:dyDescent="0.3">
      <c r="A75" s="4"/>
      <c r="B75" s="32">
        <v>71</v>
      </c>
      <c r="C75" s="10">
        <v>5.5</v>
      </c>
      <c r="D75" s="11">
        <v>2.4</v>
      </c>
      <c r="E75" s="11">
        <v>3.8</v>
      </c>
      <c r="F75" s="11">
        <v>1.1000000000000001</v>
      </c>
      <c r="G75" s="39">
        <v>1</v>
      </c>
      <c r="I75" s="38">
        <f>I74-K2*T74</f>
        <v>0.42685944030359863</v>
      </c>
      <c r="J75" s="40">
        <f>J74-K2*U74</f>
        <v>-0.21925408613498304</v>
      </c>
      <c r="K75" s="40">
        <f>K74-K2*V74</f>
        <v>0.22777610742404816</v>
      </c>
      <c r="L75" s="40">
        <f>L74-K2*W74</f>
        <v>0.64652526710210068</v>
      </c>
      <c r="M75" s="40">
        <f>M74-K2*X74</f>
        <v>0.58332394482971694</v>
      </c>
      <c r="N75" s="35">
        <f t="shared" si="20"/>
        <v>2.8660769786795792</v>
      </c>
      <c r="O75" s="35">
        <f t="shared" si="21"/>
        <v>0.94614379716336228</v>
      </c>
      <c r="P75" s="36">
        <f t="shared" si="22"/>
        <v>1</v>
      </c>
      <c r="Q75" s="36">
        <f t="shared" si="23"/>
        <v>-5.3856202836637723E-2</v>
      </c>
      <c r="R75" s="37">
        <f t="shared" si="24"/>
        <v>2.9004905839810653E-3</v>
      </c>
      <c r="T75" s="31">
        <f t="shared" si="25"/>
        <v>-5.4885623495288466E-3</v>
      </c>
      <c r="U75" s="31">
        <f t="shared" si="29"/>
        <v>-3.0187092922408655E-2</v>
      </c>
      <c r="V75" s="31">
        <f t="shared" si="26"/>
        <v>-1.3172549638869232E-2</v>
      </c>
      <c r="W75" s="31">
        <f t="shared" si="27"/>
        <v>-2.0856536928209615E-2</v>
      </c>
      <c r="X75" s="31">
        <f t="shared" si="28"/>
        <v>-6.0374185844817314E-3</v>
      </c>
    </row>
    <row r="76" spans="1:24" ht="14.25" customHeight="1" x14ac:dyDescent="0.3">
      <c r="A76" s="4"/>
      <c r="B76" s="38">
        <v>72</v>
      </c>
      <c r="C76" s="10">
        <v>5.5</v>
      </c>
      <c r="D76" s="11">
        <v>2.4</v>
      </c>
      <c r="E76" s="11">
        <v>3.7</v>
      </c>
      <c r="F76" s="11">
        <v>1</v>
      </c>
      <c r="G76" s="39">
        <v>1</v>
      </c>
      <c r="I76" s="38">
        <f>I75-K2*T75</f>
        <v>0.4274082965385515</v>
      </c>
      <c r="J76" s="40">
        <f>J75-K2*U75</f>
        <v>-0.21623537684274216</v>
      </c>
      <c r="K76" s="40">
        <f>K75-K2*V75</f>
        <v>0.2290933623879351</v>
      </c>
      <c r="L76" s="40">
        <f>L75-K2*W75</f>
        <v>0.64861092079492166</v>
      </c>
      <c r="M76" s="40">
        <f>M75-K2*X75</f>
        <v>0.58392768668816508</v>
      </c>
      <c r="N76" s="35">
        <f t="shared" si="20"/>
        <v>2.7717258872638895</v>
      </c>
      <c r="O76" s="35">
        <f t="shared" si="21"/>
        <v>0.94112868298982377</v>
      </c>
      <c r="P76" s="36">
        <f t="shared" si="22"/>
        <v>1</v>
      </c>
      <c r="Q76" s="36">
        <f t="shared" si="23"/>
        <v>-5.8871317010176227E-2</v>
      </c>
      <c r="R76" s="37">
        <f t="shared" si="24"/>
        <v>3.465831966512665E-3</v>
      </c>
      <c r="T76" s="31">
        <f t="shared" si="25"/>
        <v>-6.5235877482161912E-3</v>
      </c>
      <c r="U76" s="31">
        <f t="shared" si="29"/>
        <v>-3.587973261518905E-2</v>
      </c>
      <c r="V76" s="31">
        <f t="shared" si="26"/>
        <v>-1.5656610595718858E-2</v>
      </c>
      <c r="W76" s="31">
        <f t="shared" si="27"/>
        <v>-2.4137274668399909E-2</v>
      </c>
      <c r="X76" s="31">
        <f t="shared" si="28"/>
        <v>-6.5235877482161912E-3</v>
      </c>
    </row>
    <row r="77" spans="1:24" ht="14.25" customHeight="1" x14ac:dyDescent="0.3">
      <c r="A77" s="4"/>
      <c r="B77" s="32">
        <v>73</v>
      </c>
      <c r="C77" s="10">
        <v>5.8</v>
      </c>
      <c r="D77" s="11">
        <v>2.7</v>
      </c>
      <c r="E77" s="11">
        <v>3.9</v>
      </c>
      <c r="F77" s="11">
        <v>1.2</v>
      </c>
      <c r="G77" s="39">
        <v>1</v>
      </c>
      <c r="I77" s="38">
        <f>I76-K2*T76</f>
        <v>0.42806065531337312</v>
      </c>
      <c r="J77" s="40">
        <f>J76-K2*U76</f>
        <v>-0.21264740358122325</v>
      </c>
      <c r="K77" s="40">
        <f>K76-K2*V76</f>
        <v>0.23065902344750699</v>
      </c>
      <c r="L77" s="40">
        <f>L76-K2*W76</f>
        <v>0.65102464826176165</v>
      </c>
      <c r="M77" s="40">
        <f>M76-K2*X76</f>
        <v>0.5845800454629867</v>
      </c>
      <c r="N77" s="35">
        <f t="shared" si="20"/>
        <v>3.0579772606270015</v>
      </c>
      <c r="O77" s="35">
        <f t="shared" si="21"/>
        <v>0.95512568086583216</v>
      </c>
      <c r="P77" s="36">
        <f t="shared" si="22"/>
        <v>1</v>
      </c>
      <c r="Q77" s="36">
        <f t="shared" si="23"/>
        <v>-4.4874319134167839E-2</v>
      </c>
      <c r="R77" s="37">
        <f t="shared" si="24"/>
        <v>2.013704517755142E-3</v>
      </c>
      <c r="T77" s="31">
        <f t="shared" si="25"/>
        <v>-3.8466817971669642E-3</v>
      </c>
      <c r="U77" s="31">
        <f t="shared" si="29"/>
        <v>-2.2310754423568391E-2</v>
      </c>
      <c r="V77" s="31">
        <f t="shared" si="26"/>
        <v>-1.0386040852350804E-2</v>
      </c>
      <c r="W77" s="31">
        <f t="shared" si="27"/>
        <v>-1.5002059008951159E-2</v>
      </c>
      <c r="X77" s="31">
        <f t="shared" si="28"/>
        <v>-4.6160181566003572E-3</v>
      </c>
    </row>
    <row r="78" spans="1:24" ht="14.25" customHeight="1" x14ac:dyDescent="0.3">
      <c r="A78" s="4"/>
      <c r="B78" s="38">
        <v>74</v>
      </c>
      <c r="C78" s="10">
        <v>6</v>
      </c>
      <c r="D78" s="11">
        <v>2.7</v>
      </c>
      <c r="E78" s="11">
        <v>5.0999999999999996</v>
      </c>
      <c r="F78" s="11">
        <v>1.6</v>
      </c>
      <c r="G78" s="39">
        <v>1</v>
      </c>
      <c r="I78" s="38">
        <f>I77-K2*T77</f>
        <v>0.42844532349308984</v>
      </c>
      <c r="J78" s="40">
        <f>J77-K2*U77</f>
        <v>-0.2104163281388664</v>
      </c>
      <c r="K78" s="40">
        <f>K77-K2*V77</f>
        <v>0.23169762753274206</v>
      </c>
      <c r="L78" s="40">
        <f>L77-K2*W77</f>
        <v>0.65252485416265682</v>
      </c>
      <c r="M78" s="40">
        <f>M77-K2*X77</f>
        <v>0.58504164727864671</v>
      </c>
      <c r="N78" s="35">
        <f t="shared" si="20"/>
        <v>4.0554743408736798</v>
      </c>
      <c r="O78" s="35">
        <f t="shared" si="21"/>
        <v>0.98296786107934342</v>
      </c>
      <c r="P78" s="36">
        <f t="shared" si="22"/>
        <v>1</v>
      </c>
      <c r="Q78" s="36">
        <f t="shared" si="23"/>
        <v>-1.7032138920656581E-2</v>
      </c>
      <c r="R78" s="37">
        <f t="shared" si="24"/>
        <v>2.9009375621254473E-4</v>
      </c>
      <c r="T78" s="31">
        <f t="shared" si="25"/>
        <v>-5.703056781134352E-4</v>
      </c>
      <c r="U78" s="31">
        <f t="shared" si="29"/>
        <v>-3.421834068680611E-3</v>
      </c>
      <c r="V78" s="31">
        <f t="shared" si="26"/>
        <v>-1.5398253309062751E-3</v>
      </c>
      <c r="W78" s="31">
        <f t="shared" si="27"/>
        <v>-2.9085589583785192E-3</v>
      </c>
      <c r="X78" s="31">
        <f t="shared" si="28"/>
        <v>-9.1248908498149639E-4</v>
      </c>
    </row>
    <row r="79" spans="1:24" ht="14.25" customHeight="1" x14ac:dyDescent="0.3">
      <c r="A79" s="4"/>
      <c r="B79" s="32">
        <v>75</v>
      </c>
      <c r="C79" s="10">
        <v>5.4</v>
      </c>
      <c r="D79" s="11">
        <v>3</v>
      </c>
      <c r="E79" s="11">
        <v>4.5</v>
      </c>
      <c r="F79" s="11">
        <v>1.5</v>
      </c>
      <c r="G79" s="39">
        <v>1</v>
      </c>
      <c r="I79" s="38">
        <f>I78-K2*T78</f>
        <v>0.4285023540609012</v>
      </c>
      <c r="J79" s="40">
        <f>J78-K2*U78</f>
        <v>-0.21007414473199834</v>
      </c>
      <c r="K79" s="40">
        <f>K78-K2*V78</f>
        <v>0.23185161006583269</v>
      </c>
      <c r="L79" s="40">
        <f>L78-K2*W78</f>
        <v>0.6528157100584947</v>
      </c>
      <c r="M79" s="40">
        <f>M78-K2*X78</f>
        <v>0.58513289618714481</v>
      </c>
      <c r="N79" s="35">
        <f t="shared" si="20"/>
        <v>3.8050268422495517</v>
      </c>
      <c r="O79" s="35">
        <f t="shared" si="21"/>
        <v>0.97822605777641503</v>
      </c>
      <c r="P79" s="36">
        <f t="shared" si="22"/>
        <v>1</v>
      </c>
      <c r="Q79" s="36">
        <f t="shared" si="23"/>
        <v>-2.1773942223584974E-2</v>
      </c>
      <c r="R79" s="37">
        <f t="shared" si="24"/>
        <v>4.741045599560166E-4</v>
      </c>
      <c r="T79" s="31">
        <f t="shared" si="25"/>
        <v>-9.275628693191922E-4</v>
      </c>
      <c r="U79" s="31">
        <f t="shared" si="29"/>
        <v>-5.0088394943236386E-3</v>
      </c>
      <c r="V79" s="31">
        <f t="shared" si="26"/>
        <v>-2.7826886079575768E-3</v>
      </c>
      <c r="W79" s="31">
        <f t="shared" si="27"/>
        <v>-4.1740329119363652E-3</v>
      </c>
      <c r="X79" s="31">
        <f t="shared" si="28"/>
        <v>-1.3913443039787884E-3</v>
      </c>
    </row>
    <row r="80" spans="1:24" ht="14.25" customHeight="1" x14ac:dyDescent="0.3">
      <c r="A80" s="4"/>
      <c r="B80" s="38">
        <v>76</v>
      </c>
      <c r="C80" s="10">
        <v>6</v>
      </c>
      <c r="D80" s="11">
        <v>3.4</v>
      </c>
      <c r="E80" s="11">
        <v>4.5</v>
      </c>
      <c r="F80" s="11">
        <v>1.6</v>
      </c>
      <c r="G80" s="39">
        <v>1</v>
      </c>
      <c r="I80" s="38">
        <f>I79-K2*T79</f>
        <v>0.4285951103478331</v>
      </c>
      <c r="J80" s="40">
        <f>J79-K2*U79</f>
        <v>-0.20957326078256597</v>
      </c>
      <c r="K80" s="40">
        <f>K79-K2*V79</f>
        <v>0.23212987892662845</v>
      </c>
      <c r="L80" s="40">
        <f>L79-K2*W79</f>
        <v>0.65323311334968837</v>
      </c>
      <c r="M80" s="40">
        <f>M79-K2*X79</f>
        <v>0.58527203061754274</v>
      </c>
      <c r="N80" s="35">
        <f t="shared" si="20"/>
        <v>3.8363813930646398</v>
      </c>
      <c r="O80" s="35">
        <f t="shared" si="21"/>
        <v>0.97888398538145138</v>
      </c>
      <c r="P80" s="36">
        <f t="shared" si="22"/>
        <v>1</v>
      </c>
      <c r="Q80" s="36">
        <f t="shared" si="23"/>
        <v>-2.1116014618548617E-2</v>
      </c>
      <c r="R80" s="37">
        <f t="shared" si="24"/>
        <v>4.458860733707589E-4</v>
      </c>
      <c r="T80" s="31">
        <f t="shared" si="25"/>
        <v>-8.7294147305450943E-4</v>
      </c>
      <c r="U80" s="31">
        <f t="shared" si="29"/>
        <v>-5.2376488383270563E-3</v>
      </c>
      <c r="V80" s="31">
        <f t="shared" si="26"/>
        <v>-2.968001008385332E-3</v>
      </c>
      <c r="W80" s="31">
        <f t="shared" si="27"/>
        <v>-3.9282366287452927E-3</v>
      </c>
      <c r="X80" s="31">
        <f t="shared" si="28"/>
        <v>-1.3967063568872153E-3</v>
      </c>
    </row>
    <row r="81" spans="1:24" ht="14.25" customHeight="1" x14ac:dyDescent="0.3">
      <c r="A81" s="4"/>
      <c r="B81" s="32">
        <v>77</v>
      </c>
      <c r="C81" s="10">
        <v>6.7</v>
      </c>
      <c r="D81" s="11">
        <v>3.1</v>
      </c>
      <c r="E81" s="11">
        <v>4.7</v>
      </c>
      <c r="F81" s="11">
        <v>1.5</v>
      </c>
      <c r="G81" s="39">
        <v>1</v>
      </c>
      <c r="I81" s="38">
        <f>I80-K2*T80</f>
        <v>0.42868240449513856</v>
      </c>
      <c r="J81" s="40">
        <f>J80-K2*U80</f>
        <v>-0.20904949589873326</v>
      </c>
      <c r="K81" s="40">
        <f>K80-K2*V80</f>
        <v>0.232426679027467</v>
      </c>
      <c r="L81" s="40">
        <f>L80-K2*W80</f>
        <v>0.65362593701256289</v>
      </c>
      <c r="M81" s="40">
        <f>M80-K2*X80</f>
        <v>0.5854117012532315</v>
      </c>
      <c r="N81" s="35">
        <f t="shared" si="20"/>
        <v>3.6987329427976663</v>
      </c>
      <c r="O81" s="35">
        <f t="shared" si="21"/>
        <v>0.97584312784199034</v>
      </c>
      <c r="P81" s="36">
        <f t="shared" si="22"/>
        <v>1</v>
      </c>
      <c r="Q81" s="36">
        <f t="shared" si="23"/>
        <v>-2.4156872158009657E-2</v>
      </c>
      <c r="R81" s="37">
        <f t="shared" si="24"/>
        <v>5.8355447245842212E-4</v>
      </c>
      <c r="T81" s="31">
        <f t="shared" si="25"/>
        <v>-1.1389152433400186E-3</v>
      </c>
      <c r="U81" s="31">
        <f t="shared" si="29"/>
        <v>-7.6307321303781244E-3</v>
      </c>
      <c r="V81" s="31">
        <f t="shared" si="26"/>
        <v>-3.5306372543540579E-3</v>
      </c>
      <c r="W81" s="31">
        <f t="shared" si="27"/>
        <v>-5.3529016436980872E-3</v>
      </c>
      <c r="X81" s="31">
        <f t="shared" si="28"/>
        <v>-1.7083728650100279E-3</v>
      </c>
    </row>
    <row r="82" spans="1:24" ht="14.25" customHeight="1" x14ac:dyDescent="0.3">
      <c r="A82" s="4"/>
      <c r="B82" s="38">
        <v>78</v>
      </c>
      <c r="C82" s="10">
        <v>6.3</v>
      </c>
      <c r="D82" s="11">
        <v>2.2999999999999998</v>
      </c>
      <c r="E82" s="11">
        <v>4.4000000000000004</v>
      </c>
      <c r="F82" s="11">
        <v>1.3</v>
      </c>
      <c r="G82" s="39">
        <v>1</v>
      </c>
      <c r="I82" s="38">
        <f>I81-K2*T81</f>
        <v>0.42879629601947256</v>
      </c>
      <c r="J82" s="40">
        <f>J81-K2*U81</f>
        <v>-0.20828642268569544</v>
      </c>
      <c r="K82" s="40">
        <f>K81-K2*V81</f>
        <v>0.23277974275290239</v>
      </c>
      <c r="L82" s="40">
        <f>L81-K2*W81</f>
        <v>0.6541612271769327</v>
      </c>
      <c r="M82" s="40">
        <f>M81-K2*X81</f>
        <v>0.58558253853973252</v>
      </c>
      <c r="N82" s="35">
        <f t="shared" si="20"/>
        <v>3.2915519411114236</v>
      </c>
      <c r="O82" s="35">
        <f t="shared" si="21"/>
        <v>0.96413785278546671</v>
      </c>
      <c r="P82" s="36">
        <f t="shared" si="22"/>
        <v>1</v>
      </c>
      <c r="Q82" s="36">
        <f t="shared" si="23"/>
        <v>-3.5862147214533291E-2</v>
      </c>
      <c r="R82" s="37">
        <f t="shared" si="24"/>
        <v>1.2860936028368578E-3</v>
      </c>
      <c r="T82" s="31">
        <f t="shared" si="25"/>
        <v>-2.4799430494405056E-3</v>
      </c>
      <c r="U82" s="31">
        <f t="shared" si="29"/>
        <v>-1.5623641211475185E-2</v>
      </c>
      <c r="V82" s="31">
        <f t="shared" si="26"/>
        <v>-5.703869013713162E-3</v>
      </c>
      <c r="W82" s="31">
        <f t="shared" si="27"/>
        <v>-1.0911749417538226E-2</v>
      </c>
      <c r="X82" s="31">
        <f t="shared" si="28"/>
        <v>-3.2239259642726573E-3</v>
      </c>
    </row>
    <row r="83" spans="1:24" ht="14.25" customHeight="1" x14ac:dyDescent="0.3">
      <c r="A83" s="4"/>
      <c r="B83" s="32">
        <v>79</v>
      </c>
      <c r="C83" s="10">
        <v>5.6</v>
      </c>
      <c r="D83" s="11">
        <v>3</v>
      </c>
      <c r="E83" s="11">
        <v>4.0999999999999996</v>
      </c>
      <c r="F83" s="11">
        <v>1.3</v>
      </c>
      <c r="G83" s="39">
        <v>1</v>
      </c>
      <c r="I83" s="38">
        <f>I82-K2*T82</f>
        <v>0.4290442903244166</v>
      </c>
      <c r="J83" s="40">
        <f>J82-K2*U82</f>
        <v>-0.20672405856454792</v>
      </c>
      <c r="K83" s="40">
        <f>K82-K2*V82</f>
        <v>0.23335012965427371</v>
      </c>
      <c r="L83" s="40">
        <f>L82-K2*W82</f>
        <v>0.65525240211868652</v>
      </c>
      <c r="M83" s="40">
        <f>M82-K2*X82</f>
        <v>0.58590493113615982</v>
      </c>
      <c r="N83" s="35">
        <f t="shared" si="20"/>
        <v>3.4196512104893917</v>
      </c>
      <c r="O83" s="35">
        <f t="shared" si="21"/>
        <v>0.96831307150665302</v>
      </c>
      <c r="P83" s="36">
        <f t="shared" si="22"/>
        <v>1</v>
      </c>
      <c r="Q83" s="36">
        <f t="shared" si="23"/>
        <v>-3.1686928493346977E-2</v>
      </c>
      <c r="R83" s="37">
        <f t="shared" si="24"/>
        <v>1.0040614373424846E-3</v>
      </c>
      <c r="T83" s="31">
        <f t="shared" si="25"/>
        <v>-1.9444916287489722E-3</v>
      </c>
      <c r="U83" s="31">
        <f t="shared" si="29"/>
        <v>-1.0889153120994243E-2</v>
      </c>
      <c r="V83" s="31">
        <f t="shared" si="26"/>
        <v>-5.8334748862469161E-3</v>
      </c>
      <c r="W83" s="31">
        <f t="shared" si="27"/>
        <v>-7.9724156778707856E-3</v>
      </c>
      <c r="X83" s="31">
        <f t="shared" si="28"/>
        <v>-2.5278391173736638E-3</v>
      </c>
    </row>
    <row r="84" spans="1:24" ht="14.25" customHeight="1" x14ac:dyDescent="0.3">
      <c r="A84" s="4"/>
      <c r="B84" s="38">
        <v>80</v>
      </c>
      <c r="C84" s="10">
        <v>5.5</v>
      </c>
      <c r="D84" s="11">
        <v>2.5</v>
      </c>
      <c r="E84" s="11">
        <v>4</v>
      </c>
      <c r="F84" s="11">
        <v>1.3</v>
      </c>
      <c r="G84" s="39">
        <v>1</v>
      </c>
      <c r="H84" s="37">
        <f>SUMPRODUCT(--(P5:P84=G5:G84))/80</f>
        <v>0.85</v>
      </c>
      <c r="I84" s="38">
        <f>I83-K2*T83</f>
        <v>0.42923873948729152</v>
      </c>
      <c r="J84" s="40">
        <f>J83-K2*U83</f>
        <v>-0.2056351432524485</v>
      </c>
      <c r="K84" s="40">
        <f>K83-K2*V83</f>
        <v>0.23393347714289839</v>
      </c>
      <c r="L84" s="40">
        <f>L83-K2*W83</f>
        <v>0.65604964368647356</v>
      </c>
      <c r="M84" s="40">
        <f>M83-K2*X83</f>
        <v>0.58615771504789715</v>
      </c>
      <c r="N84" s="35">
        <f t="shared" si="20"/>
        <v>3.2692827487642311</v>
      </c>
      <c r="O84" s="35">
        <f t="shared" si="21"/>
        <v>0.96335986286377251</v>
      </c>
      <c r="P84" s="36">
        <f t="shared" si="22"/>
        <v>1</v>
      </c>
      <c r="Q84" s="36">
        <f t="shared" si="23"/>
        <v>-3.6640137136227491E-2</v>
      </c>
      <c r="R84" s="37">
        <f t="shared" si="24"/>
        <v>1.342499649361557E-3</v>
      </c>
      <c r="S84">
        <f>AVERAGE(R5:R84)</f>
        <v>0.12996490026568225</v>
      </c>
      <c r="T84" s="31">
        <f t="shared" si="25"/>
        <v>-2.5866205562072244E-3</v>
      </c>
      <c r="U84" s="31">
        <f t="shared" si="29"/>
        <v>-1.4226413059139733E-2</v>
      </c>
      <c r="V84" s="31">
        <f t="shared" si="26"/>
        <v>-6.4665513905180607E-3</v>
      </c>
      <c r="W84" s="31">
        <f t="shared" si="27"/>
        <v>-1.0346482224828897E-2</v>
      </c>
      <c r="X84" s="31">
        <f t="shared" si="28"/>
        <v>-3.3626067230693919E-3</v>
      </c>
    </row>
    <row r="85" spans="1:24" ht="14.25" customHeight="1" x14ac:dyDescent="0.3">
      <c r="A85" s="3"/>
      <c r="B85" s="38">
        <v>1</v>
      </c>
      <c r="C85" s="10">
        <v>5.0999999999999996</v>
      </c>
      <c r="D85" s="11">
        <v>3.5</v>
      </c>
      <c r="E85" s="11">
        <v>1.4</v>
      </c>
      <c r="F85" s="11">
        <v>0.2</v>
      </c>
      <c r="G85" s="39">
        <v>0</v>
      </c>
      <c r="I85" s="38">
        <f>I84-K2*T84</f>
        <v>0.42949740154291222</v>
      </c>
      <c r="J85" s="40">
        <f>J84-K2*U84</f>
        <v>-0.20421250194653454</v>
      </c>
      <c r="K85" s="40">
        <f>K84-K2*V84</f>
        <v>0.23458013228195018</v>
      </c>
      <c r="L85" s="40">
        <f>L84-K2*W84</f>
        <v>0.65708429190895645</v>
      </c>
      <c r="M85" s="40">
        <f>M84-K2*X84</f>
        <v>0.58649397572020412</v>
      </c>
      <c r="N85" s="35">
        <f t="shared" ref="N85:N116" si="30">I85+J85*C85+K85*D85+L85*E85+F85*M85</f>
        <v>1.2462609084189915</v>
      </c>
      <c r="O85" s="35">
        <f t="shared" ref="O85:O116" si="31">1/(1+EXP(-N85))</f>
        <v>0.77665193547640621</v>
      </c>
      <c r="P85" s="36">
        <f t="shared" ref="P85:P116" si="32">IF(O85&gt;0.5,1,0)</f>
        <v>1</v>
      </c>
      <c r="Q85" s="36">
        <f t="shared" ref="Q85:Q116" si="33">O85-G85</f>
        <v>0.77665193547640621</v>
      </c>
      <c r="R85" s="37">
        <f t="shared" ref="R85:R116" si="34">Q85^2</f>
        <v>0.60318822887924783</v>
      </c>
      <c r="T85" s="31">
        <f t="shared" ref="T85:T116" si="35">2*(O85-G85)*(1-O85)*O85</f>
        <v>0.26944184692718903</v>
      </c>
      <c r="U85" s="31">
        <f t="shared" ref="U85:U116" si="36">2*(O85-G85)*(1-O85)*O85*C85</f>
        <v>1.374153419328664</v>
      </c>
      <c r="V85" s="31">
        <f t="shared" ref="V85:V116" si="37">2*(O85-G85)*(1-O85)*O85*D85</f>
        <v>0.94304646424516159</v>
      </c>
      <c r="W85" s="31">
        <f t="shared" ref="W85:W116" si="38">2*(O85-G85)*(1-O85)*O85*E85</f>
        <v>0.3772185856980646</v>
      </c>
      <c r="X85" s="31">
        <f t="shared" ref="X85:X116" si="39">2*(O85-G85)*(1-O85)*O85*F85</f>
        <v>5.3888369385437812E-2</v>
      </c>
    </row>
    <row r="86" spans="1:24" ht="14.25" customHeight="1" x14ac:dyDescent="0.3">
      <c r="A86" s="3"/>
      <c r="B86" s="38">
        <v>2</v>
      </c>
      <c r="C86" s="10">
        <v>4.9000000000000004</v>
      </c>
      <c r="D86" s="11">
        <v>3</v>
      </c>
      <c r="E86" s="11">
        <v>1.4</v>
      </c>
      <c r="F86" s="11">
        <v>0.2</v>
      </c>
      <c r="G86" s="39">
        <v>0</v>
      </c>
      <c r="I86" s="38">
        <f>I85-K2*T85</f>
        <v>0.4025532168501933</v>
      </c>
      <c r="J86" s="40">
        <f>J85-K2*U85</f>
        <v>-0.34162784387940093</v>
      </c>
      <c r="K86" s="40">
        <f>K85-K2*V85</f>
        <v>0.14027548585743402</v>
      </c>
      <c r="L86" s="40">
        <f>L85-K2*W85</f>
        <v>0.61936243333914998</v>
      </c>
      <c r="M86" s="40">
        <f>M85-K2*X85</f>
        <v>0.58110513878166037</v>
      </c>
      <c r="N86" s="35">
        <f t="shared" si="30"/>
        <v>0.13273167384457268</v>
      </c>
      <c r="O86" s="35">
        <f t="shared" si="31"/>
        <v>0.53313428691933784</v>
      </c>
      <c r="P86" s="36">
        <f t="shared" si="32"/>
        <v>1</v>
      </c>
      <c r="Q86" s="36">
        <f t="shared" si="33"/>
        <v>0.53313428691933784</v>
      </c>
      <c r="R86" s="37">
        <f t="shared" si="34"/>
        <v>0.28423216788899086</v>
      </c>
      <c r="T86" s="31">
        <f t="shared" si="35"/>
        <v>0.26539650748391241</v>
      </c>
      <c r="U86" s="31">
        <f t="shared" si="36"/>
        <v>1.300442886671171</v>
      </c>
      <c r="V86" s="31">
        <f t="shared" si="37"/>
        <v>0.79618952245173724</v>
      </c>
      <c r="W86" s="31">
        <f t="shared" si="38"/>
        <v>0.37155511047747736</v>
      </c>
      <c r="X86" s="31">
        <f t="shared" si="39"/>
        <v>5.3079301496782486E-2</v>
      </c>
    </row>
    <row r="87" spans="1:24" ht="14.25" customHeight="1" x14ac:dyDescent="0.3">
      <c r="A87" s="3"/>
      <c r="B87" s="38">
        <v>3</v>
      </c>
      <c r="C87" s="10">
        <v>4.7</v>
      </c>
      <c r="D87" s="11">
        <v>3.2</v>
      </c>
      <c r="E87" s="11">
        <v>1.3</v>
      </c>
      <c r="F87" s="11">
        <v>0.2</v>
      </c>
      <c r="G87" s="39">
        <v>0</v>
      </c>
      <c r="I87" s="38">
        <f>I86-K2*T86</f>
        <v>0.37601356610180203</v>
      </c>
      <c r="J87" s="40">
        <f>J86-K2*U86</f>
        <v>-0.47167213254651807</v>
      </c>
      <c r="K87" s="40">
        <f>K86-K2*V86</f>
        <v>6.0656533612260283E-2</v>
      </c>
      <c r="L87" s="40">
        <f>L86-K2*W86</f>
        <v>0.58220692229140225</v>
      </c>
      <c r="M87" s="40">
        <f>M86-K2*X86</f>
        <v>0.57579720863198214</v>
      </c>
      <c r="N87" s="35">
        <f t="shared" si="30"/>
        <v>-0.77471610860238038</v>
      </c>
      <c r="O87" s="35">
        <f t="shared" si="31"/>
        <v>0.31545980136835367</v>
      </c>
      <c r="P87" s="36">
        <f t="shared" si="32"/>
        <v>0</v>
      </c>
      <c r="Q87" s="36">
        <f t="shared" si="33"/>
        <v>0.31545980136835367</v>
      </c>
      <c r="R87" s="37">
        <f t="shared" si="34"/>
        <v>9.9514886279361142E-2</v>
      </c>
      <c r="T87" s="31">
        <f t="shared" si="35"/>
        <v>0.13624388004095916</v>
      </c>
      <c r="U87" s="31">
        <f t="shared" si="36"/>
        <v>0.64034623619250808</v>
      </c>
      <c r="V87" s="31">
        <f t="shared" si="37"/>
        <v>0.43598041613106936</v>
      </c>
      <c r="W87" s="31">
        <f t="shared" si="38"/>
        <v>0.17711704405324691</v>
      </c>
      <c r="X87" s="31">
        <f t="shared" si="39"/>
        <v>2.7248776008191835E-2</v>
      </c>
    </row>
    <row r="88" spans="1:24" ht="14.25" customHeight="1" x14ac:dyDescent="0.3">
      <c r="A88" s="3"/>
      <c r="B88" s="38">
        <v>4</v>
      </c>
      <c r="C88" s="10">
        <v>4.5999999999999996</v>
      </c>
      <c r="D88" s="11">
        <v>3.1</v>
      </c>
      <c r="E88" s="11">
        <v>1.5</v>
      </c>
      <c r="F88" s="11">
        <v>0.2</v>
      </c>
      <c r="G88" s="39">
        <v>0</v>
      </c>
      <c r="I88" s="38">
        <f>I87-K2*T87</f>
        <v>0.3623891780977061</v>
      </c>
      <c r="J88" s="40">
        <f>J87-K2*U87</f>
        <v>-0.5357067561657689</v>
      </c>
      <c r="K88" s="40">
        <f>K87-K2*V87</f>
        <v>1.7058491999153345E-2</v>
      </c>
      <c r="L88" s="40">
        <f>L87-K2*W87</f>
        <v>0.56449521788607759</v>
      </c>
      <c r="M88" s="40">
        <f>M87-K2*X87</f>
        <v>0.57307233103116295</v>
      </c>
      <c r="N88" s="35">
        <f t="shared" si="30"/>
        <v>-1.0876232820321063</v>
      </c>
      <c r="O88" s="35">
        <f t="shared" si="31"/>
        <v>0.25206609403305791</v>
      </c>
      <c r="P88" s="36">
        <f t="shared" si="32"/>
        <v>0</v>
      </c>
      <c r="Q88" s="36">
        <f t="shared" si="33"/>
        <v>0.25206609403305791</v>
      </c>
      <c r="R88" s="37">
        <f t="shared" si="34"/>
        <v>6.3537315761082389E-2</v>
      </c>
      <c r="T88" s="31">
        <f t="shared" si="35"/>
        <v>9.504342550368261E-2</v>
      </c>
      <c r="U88" s="31">
        <f t="shared" si="36"/>
        <v>0.43719975731694</v>
      </c>
      <c r="V88" s="31">
        <f t="shared" si="37"/>
        <v>0.29463461906141608</v>
      </c>
      <c r="W88" s="31">
        <f t="shared" si="38"/>
        <v>0.14256513825552392</v>
      </c>
      <c r="X88" s="31">
        <f t="shared" si="39"/>
        <v>1.9008685100736524E-2</v>
      </c>
    </row>
    <row r="89" spans="1:24" ht="14.25" customHeight="1" x14ac:dyDescent="0.3">
      <c r="A89" s="3"/>
      <c r="B89" s="38">
        <v>5</v>
      </c>
      <c r="C89" s="10">
        <v>5</v>
      </c>
      <c r="D89" s="11">
        <v>3.6</v>
      </c>
      <c r="E89" s="11">
        <v>1.4</v>
      </c>
      <c r="F89" s="11">
        <v>0.2</v>
      </c>
      <c r="G89" s="39">
        <v>0</v>
      </c>
      <c r="I89" s="38">
        <f>I88-K2*T88</f>
        <v>0.35288483554733785</v>
      </c>
      <c r="J89" s="40">
        <f>J88-K2*U88</f>
        <v>-0.57942673189746285</v>
      </c>
      <c r="K89" s="40">
        <f>K88-K2*V88</f>
        <v>-1.2404969906988264E-2</v>
      </c>
      <c r="L89" s="40">
        <f>L88-K2*W88</f>
        <v>0.55023870406052522</v>
      </c>
      <c r="M89" s="40">
        <f>M88-K2*X88</f>
        <v>0.5711714625210893</v>
      </c>
      <c r="N89" s="35">
        <f t="shared" si="30"/>
        <v>-1.7043382374161808</v>
      </c>
      <c r="O89" s="35">
        <f t="shared" si="31"/>
        <v>0.15389951529813237</v>
      </c>
      <c r="P89" s="36">
        <f t="shared" si="32"/>
        <v>0</v>
      </c>
      <c r="Q89" s="36">
        <f t="shared" si="33"/>
        <v>0.15389951529813237</v>
      </c>
      <c r="R89" s="37">
        <f t="shared" si="34"/>
        <v>2.368506080900008E-2</v>
      </c>
      <c r="T89" s="31">
        <f t="shared" si="35"/>
        <v>4.0079882861376356E-2</v>
      </c>
      <c r="U89" s="31">
        <f t="shared" si="36"/>
        <v>0.2003994143068818</v>
      </c>
      <c r="V89" s="31">
        <f t="shared" si="37"/>
        <v>0.1442875783009549</v>
      </c>
      <c r="W89" s="31">
        <f t="shared" si="38"/>
        <v>5.6111836005926896E-2</v>
      </c>
      <c r="X89" s="31">
        <f t="shared" si="39"/>
        <v>8.0159765722752716E-3</v>
      </c>
    </row>
    <row r="90" spans="1:24" ht="14.25" customHeight="1" x14ac:dyDescent="0.3">
      <c r="A90" s="3"/>
      <c r="B90" s="38">
        <v>6</v>
      </c>
      <c r="C90" s="10">
        <v>5.4</v>
      </c>
      <c r="D90" s="11">
        <v>3.9</v>
      </c>
      <c r="E90" s="11">
        <v>1.7</v>
      </c>
      <c r="F90" s="11">
        <v>0.4</v>
      </c>
      <c r="G90" s="39">
        <v>0</v>
      </c>
      <c r="I90" s="38">
        <f>I89-K2*T89</f>
        <v>0.34887684726120022</v>
      </c>
      <c r="J90" s="40">
        <f>J89-K2*U89</f>
        <v>-0.59946667332815107</v>
      </c>
      <c r="K90" s="40">
        <f>K89-K2*V89</f>
        <v>-2.6833727737083757E-2</v>
      </c>
      <c r="L90" s="40">
        <f>L89-K2*W89</f>
        <v>0.54462752045993257</v>
      </c>
      <c r="M90" s="40">
        <f>M89-K2*X89</f>
        <v>0.57036986486386176</v>
      </c>
      <c r="N90" s="35">
        <f t="shared" si="30"/>
        <v>-1.8388799961580127</v>
      </c>
      <c r="O90" s="35">
        <f t="shared" si="31"/>
        <v>0.13718380730782645</v>
      </c>
      <c r="P90" s="36">
        <f t="shared" si="32"/>
        <v>0</v>
      </c>
      <c r="Q90" s="36">
        <f t="shared" si="33"/>
        <v>0.13718380730782645</v>
      </c>
      <c r="R90" s="37">
        <f t="shared" si="34"/>
        <v>1.8819396987470857E-2</v>
      </c>
      <c r="T90" s="31">
        <f t="shared" si="35"/>
        <v>3.2475360914984333E-2</v>
      </c>
      <c r="U90" s="31">
        <f t="shared" si="36"/>
        <v>0.17536694894091542</v>
      </c>
      <c r="V90" s="31">
        <f t="shared" si="37"/>
        <v>0.12665390756843889</v>
      </c>
      <c r="W90" s="31">
        <f t="shared" si="38"/>
        <v>5.5208113555473365E-2</v>
      </c>
      <c r="X90" s="31">
        <f t="shared" si="39"/>
        <v>1.2990144365993734E-2</v>
      </c>
    </row>
    <row r="91" spans="1:24" ht="14.25" customHeight="1" x14ac:dyDescent="0.3">
      <c r="A91" s="3"/>
      <c r="B91" s="38">
        <v>7</v>
      </c>
      <c r="C91" s="10">
        <v>4.5999999999999996</v>
      </c>
      <c r="D91" s="11">
        <v>3.4</v>
      </c>
      <c r="E91" s="11">
        <v>1.4</v>
      </c>
      <c r="F91" s="11">
        <v>0.3</v>
      </c>
      <c r="G91" s="39">
        <v>0</v>
      </c>
      <c r="I91" s="38">
        <f>I90-K2*T90</f>
        <v>0.3456293111697018</v>
      </c>
      <c r="J91" s="40">
        <f>J90-K2*U90</f>
        <v>-0.61700336822224267</v>
      </c>
      <c r="K91" s="40">
        <f>K90-K2*V90</f>
        <v>-3.9499118493927649E-2</v>
      </c>
      <c r="L91" s="40">
        <f>L90-K2*W90</f>
        <v>0.53910670910438518</v>
      </c>
      <c r="M91" s="40">
        <f>M90-K2*X90</f>
        <v>0.56907085042726235</v>
      </c>
      <c r="N91" s="35">
        <f t="shared" si="30"/>
        <v>-1.7014125376576505</v>
      </c>
      <c r="O91" s="35">
        <f t="shared" si="31"/>
        <v>0.15428086957820952</v>
      </c>
      <c r="P91" s="36">
        <f t="shared" si="32"/>
        <v>0</v>
      </c>
      <c r="Q91" s="36">
        <f t="shared" si="33"/>
        <v>0.15428086957820952</v>
      </c>
      <c r="R91" s="37">
        <f t="shared" si="34"/>
        <v>2.3802586717808497E-2</v>
      </c>
      <c r="T91" s="31">
        <f t="shared" si="35"/>
        <v>4.0260605881548527E-2</v>
      </c>
      <c r="U91" s="31">
        <f t="shared" si="36"/>
        <v>0.18519878705512322</v>
      </c>
      <c r="V91" s="31">
        <f t="shared" si="37"/>
        <v>0.136886059997265</v>
      </c>
      <c r="W91" s="31">
        <f t="shared" si="38"/>
        <v>5.636484823416793E-2</v>
      </c>
      <c r="X91" s="31">
        <f t="shared" si="39"/>
        <v>1.2078181764464558E-2</v>
      </c>
    </row>
    <row r="92" spans="1:24" ht="14.25" customHeight="1" x14ac:dyDescent="0.3">
      <c r="A92" s="3"/>
      <c r="B92" s="38">
        <v>8</v>
      </c>
      <c r="C92" s="10">
        <v>5</v>
      </c>
      <c r="D92" s="11">
        <v>3.4</v>
      </c>
      <c r="E92" s="11">
        <v>1.5</v>
      </c>
      <c r="F92" s="11">
        <v>0.2</v>
      </c>
      <c r="G92" s="39">
        <v>0</v>
      </c>
      <c r="I92" s="38">
        <f>I91-K2*T91</f>
        <v>0.34160325058154695</v>
      </c>
      <c r="J92" s="40">
        <f>J91-K2*U91</f>
        <v>-0.63552324692775497</v>
      </c>
      <c r="K92" s="40">
        <f>K91-K2*V91</f>
        <v>-5.3187724493654151E-2</v>
      </c>
      <c r="L92" s="40">
        <f>L91-K2*W91</f>
        <v>0.53347022428096835</v>
      </c>
      <c r="M92" s="40">
        <f>M91-K2*X91</f>
        <v>0.56786303225081591</v>
      </c>
      <c r="N92" s="35">
        <f t="shared" si="30"/>
        <v>-2.1030733044640364</v>
      </c>
      <c r="O92" s="35">
        <f t="shared" si="31"/>
        <v>0.1087984709377037</v>
      </c>
      <c r="P92" s="36">
        <f t="shared" si="32"/>
        <v>0</v>
      </c>
      <c r="Q92" s="36">
        <f t="shared" si="33"/>
        <v>0.1087984709377037</v>
      </c>
      <c r="R92" s="37">
        <f t="shared" si="34"/>
        <v>1.1837107278382357E-2</v>
      </c>
      <c r="T92" s="31">
        <f t="shared" si="35"/>
        <v>2.1098496212337586E-2</v>
      </c>
      <c r="U92" s="31">
        <f t="shared" si="36"/>
        <v>0.10549248106168793</v>
      </c>
      <c r="V92" s="31">
        <f t="shared" si="37"/>
        <v>7.1734887121947796E-2</v>
      </c>
      <c r="W92" s="31">
        <f t="shared" si="38"/>
        <v>3.1647744318506379E-2</v>
      </c>
      <c r="X92" s="31">
        <f t="shared" si="39"/>
        <v>4.2196992424675178E-3</v>
      </c>
    </row>
    <row r="93" spans="1:24" ht="14.25" customHeight="1" x14ac:dyDescent="0.3">
      <c r="A93" s="3"/>
      <c r="B93" s="38">
        <v>9</v>
      </c>
      <c r="C93" s="10">
        <v>4.4000000000000004</v>
      </c>
      <c r="D93" s="11">
        <v>2.9</v>
      </c>
      <c r="E93" s="11">
        <v>1.4</v>
      </c>
      <c r="F93" s="11">
        <v>0.2</v>
      </c>
      <c r="G93" s="39">
        <v>0</v>
      </c>
      <c r="I93" s="38">
        <f>I92-K2*T92</f>
        <v>0.33949340096031316</v>
      </c>
      <c r="J93" s="40">
        <f>J92-K2*U92</f>
        <v>-0.64607249503392372</v>
      </c>
      <c r="K93" s="40">
        <f>K92-K2*V92</f>
        <v>-6.0361213205848932E-2</v>
      </c>
      <c r="L93" s="40">
        <f>L92-K2*W92</f>
        <v>0.53030544984911776</v>
      </c>
      <c r="M93" s="40">
        <f>M92-K2*X92</f>
        <v>0.56744106232656921</v>
      </c>
      <c r="N93" s="35">
        <f t="shared" si="30"/>
        <v>-1.8223572532318351</v>
      </c>
      <c r="O93" s="35">
        <f t="shared" si="31"/>
        <v>0.13915126160664693</v>
      </c>
      <c r="P93" s="36">
        <f t="shared" si="32"/>
        <v>0</v>
      </c>
      <c r="Q93" s="36">
        <f t="shared" si="33"/>
        <v>0.13915126160664693</v>
      </c>
      <c r="R93" s="37">
        <f t="shared" si="34"/>
        <v>1.936307360672149E-2</v>
      </c>
      <c r="T93" s="31">
        <f t="shared" si="35"/>
        <v>3.3337354971527657E-2</v>
      </c>
      <c r="U93" s="31">
        <f t="shared" si="36"/>
        <v>0.1466843618747217</v>
      </c>
      <c r="V93" s="31">
        <f t="shared" si="37"/>
        <v>9.6678329417430195E-2</v>
      </c>
      <c r="W93" s="31">
        <f t="shared" si="38"/>
        <v>4.6672296960138714E-2</v>
      </c>
      <c r="X93" s="31">
        <f t="shared" si="39"/>
        <v>6.667470994305532E-3</v>
      </c>
    </row>
    <row r="94" spans="1:24" ht="14.25" customHeight="1" x14ac:dyDescent="0.3">
      <c r="A94" s="3"/>
      <c r="B94" s="38">
        <v>10</v>
      </c>
      <c r="C94" s="10">
        <v>4.9000000000000004</v>
      </c>
      <c r="D94" s="11">
        <v>3.1</v>
      </c>
      <c r="E94" s="11">
        <v>1.5</v>
      </c>
      <c r="F94" s="11">
        <v>0.1</v>
      </c>
      <c r="G94" s="39">
        <v>0</v>
      </c>
      <c r="I94" s="38">
        <f>I93-K2*T93</f>
        <v>0.3361596654631604</v>
      </c>
      <c r="J94" s="40">
        <f>J93-K2*U93</f>
        <v>-0.66074093122139588</v>
      </c>
      <c r="K94" s="40">
        <f>K93-K2*V93</f>
        <v>-7.002904614759195E-2</v>
      </c>
      <c r="L94" s="40">
        <f>L93-K2*W93</f>
        <v>0.52563822015310391</v>
      </c>
      <c r="M94" s="40">
        <f>M93-K2*X93</f>
        <v>0.56677431522713861</v>
      </c>
      <c r="N94" s="35">
        <f t="shared" si="30"/>
        <v>-2.2734261788268451</v>
      </c>
      <c r="O94" s="35">
        <f t="shared" si="31"/>
        <v>9.3347836671537593E-2</v>
      </c>
      <c r="P94" s="36">
        <f t="shared" si="32"/>
        <v>0</v>
      </c>
      <c r="Q94" s="36">
        <f t="shared" si="33"/>
        <v>9.3347836671537593E-2</v>
      </c>
      <c r="R94" s="37">
        <f t="shared" si="34"/>
        <v>8.7138186112560578E-3</v>
      </c>
      <c r="T94" s="31">
        <f t="shared" si="35"/>
        <v>1.5800804989494249E-2</v>
      </c>
      <c r="U94" s="31">
        <f t="shared" si="36"/>
        <v>7.7423944448521825E-2</v>
      </c>
      <c r="V94" s="31">
        <f t="shared" si="37"/>
        <v>4.898249546743217E-2</v>
      </c>
      <c r="W94" s="31">
        <f t="shared" si="38"/>
        <v>2.3701207484241371E-2</v>
      </c>
      <c r="X94" s="31">
        <f t="shared" si="39"/>
        <v>1.5800804989494249E-3</v>
      </c>
    </row>
    <row r="95" spans="1:24" ht="14.25" customHeight="1" x14ac:dyDescent="0.3">
      <c r="A95" s="3"/>
      <c r="B95" s="38">
        <v>11</v>
      </c>
      <c r="C95" s="10">
        <v>5.4</v>
      </c>
      <c r="D95" s="11">
        <v>3.7</v>
      </c>
      <c r="E95" s="11">
        <v>1.5</v>
      </c>
      <c r="F95" s="11">
        <v>0.2</v>
      </c>
      <c r="G95" s="39">
        <v>0</v>
      </c>
      <c r="I95" s="38">
        <f>I94-K2*T94</f>
        <v>0.33457958496421097</v>
      </c>
      <c r="J95" s="40">
        <f>J94-K2*U94</f>
        <v>-0.66848332566624802</v>
      </c>
      <c r="K95" s="40">
        <f>K94-K2*V94</f>
        <v>-7.4927295694335164E-2</v>
      </c>
      <c r="L95" s="40">
        <f>L94-K2*W94</f>
        <v>0.52326809940467978</v>
      </c>
      <c r="M95" s="40">
        <f>M94-K2*X94</f>
        <v>0.56661630717724365</v>
      </c>
      <c r="N95" s="35">
        <f t="shared" si="30"/>
        <v>-2.6542359571601004</v>
      </c>
      <c r="O95" s="35">
        <f t="shared" si="31"/>
        <v>6.5728408051474591E-2</v>
      </c>
      <c r="P95" s="36">
        <f t="shared" si="32"/>
        <v>0</v>
      </c>
      <c r="Q95" s="36">
        <f t="shared" si="33"/>
        <v>6.5728408051474591E-2</v>
      </c>
      <c r="R95" s="37">
        <f t="shared" si="34"/>
        <v>4.3202236249811499E-3</v>
      </c>
      <c r="T95" s="31">
        <f t="shared" si="35"/>
        <v>8.0725244073695367E-3</v>
      </c>
      <c r="U95" s="31">
        <f t="shared" si="36"/>
        <v>4.3591631799795499E-2</v>
      </c>
      <c r="V95" s="31">
        <f t="shared" si="37"/>
        <v>2.9868340307267288E-2</v>
      </c>
      <c r="W95" s="31">
        <f t="shared" si="38"/>
        <v>1.2108786611054304E-2</v>
      </c>
      <c r="X95" s="31">
        <f t="shared" si="39"/>
        <v>1.6145048814739074E-3</v>
      </c>
    </row>
    <row r="96" spans="1:24" ht="14.25" customHeight="1" x14ac:dyDescent="0.3">
      <c r="A96" s="3"/>
      <c r="B96" s="38">
        <v>12</v>
      </c>
      <c r="C96" s="10">
        <v>4.8</v>
      </c>
      <c r="D96" s="11">
        <v>3.4</v>
      </c>
      <c r="E96" s="11">
        <v>1.6</v>
      </c>
      <c r="F96" s="11">
        <v>0.2</v>
      </c>
      <c r="G96" s="39">
        <v>0</v>
      </c>
      <c r="I96" s="38">
        <f>I95-K2*T95</f>
        <v>0.33377233252347405</v>
      </c>
      <c r="J96" s="40">
        <f>J95-K2*U95</f>
        <v>-0.67284248884622755</v>
      </c>
      <c r="K96" s="40">
        <f>K95-K2*V95</f>
        <v>-7.7914129725061898E-2</v>
      </c>
      <c r="L96" s="40">
        <f>L95-K2*W95</f>
        <v>0.5220572207435743</v>
      </c>
      <c r="M96" s="40">
        <f>M95-K2*X95</f>
        <v>0.56645485668909623</v>
      </c>
      <c r="N96" s="35">
        <f t="shared" si="30"/>
        <v>-2.2121971304760901</v>
      </c>
      <c r="O96" s="35">
        <f t="shared" si="31"/>
        <v>9.8660517430370409E-2</v>
      </c>
      <c r="P96" s="36">
        <f t="shared" si="32"/>
        <v>0</v>
      </c>
      <c r="Q96" s="36">
        <f t="shared" si="33"/>
        <v>9.8660517430370409E-2</v>
      </c>
      <c r="R96" s="37">
        <f t="shared" si="34"/>
        <v>9.7338976996284229E-3</v>
      </c>
      <c r="T96" s="31">
        <f t="shared" si="35"/>
        <v>1.7547092631937579E-2</v>
      </c>
      <c r="U96" s="31">
        <f t="shared" si="36"/>
        <v>8.422604463330037E-2</v>
      </c>
      <c r="V96" s="31">
        <f t="shared" si="37"/>
        <v>5.9660114948587764E-2</v>
      </c>
      <c r="W96" s="31">
        <f t="shared" si="38"/>
        <v>2.8075348211100127E-2</v>
      </c>
      <c r="X96" s="31">
        <f t="shared" si="39"/>
        <v>3.5094185263875159E-3</v>
      </c>
    </row>
    <row r="97" spans="1:24" ht="14.25" customHeight="1" x14ac:dyDescent="0.3">
      <c r="A97" s="3"/>
      <c r="B97" s="38">
        <v>13</v>
      </c>
      <c r="C97" s="10">
        <v>4.8</v>
      </c>
      <c r="D97" s="11">
        <v>3</v>
      </c>
      <c r="E97" s="11">
        <v>1.4</v>
      </c>
      <c r="F97" s="11">
        <v>0.1</v>
      </c>
      <c r="G97" s="39">
        <v>0</v>
      </c>
      <c r="I97" s="38">
        <f>I96-K2*T96</f>
        <v>0.33201762326028028</v>
      </c>
      <c r="J97" s="40">
        <f>J96-K2*U96</f>
        <v>-0.68126509330955753</v>
      </c>
      <c r="K97" s="40">
        <f>K96-K2*V96</f>
        <v>-8.388014121992067E-2</v>
      </c>
      <c r="L97" s="40">
        <f>L96-K2*W96</f>
        <v>0.51924968592246434</v>
      </c>
      <c r="M97" s="40">
        <f>M96-K2*X96</f>
        <v>0.5661039148364575</v>
      </c>
      <c r="N97" s="35">
        <f t="shared" si="30"/>
        <v>-2.4061352965102625</v>
      </c>
      <c r="O97" s="35">
        <f t="shared" si="31"/>
        <v>8.2706044325323483E-2</v>
      </c>
      <c r="P97" s="36">
        <f t="shared" si="32"/>
        <v>0</v>
      </c>
      <c r="Q97" s="36">
        <f t="shared" si="33"/>
        <v>8.2706044325323483E-2</v>
      </c>
      <c r="R97" s="37">
        <f t="shared" si="34"/>
        <v>6.8402897679423723E-3</v>
      </c>
      <c r="T97" s="31">
        <f t="shared" si="35"/>
        <v>1.2549112918393748E-2</v>
      </c>
      <c r="U97" s="31">
        <f t="shared" si="36"/>
        <v>6.0235742008289989E-2</v>
      </c>
      <c r="V97" s="31">
        <f t="shared" si="37"/>
        <v>3.7647338755181239E-2</v>
      </c>
      <c r="W97" s="31">
        <f t="shared" si="38"/>
        <v>1.7568758085751247E-2</v>
      </c>
      <c r="X97" s="31">
        <f t="shared" si="39"/>
        <v>1.2549112918393748E-3</v>
      </c>
    </row>
    <row r="98" spans="1:24" ht="14.25" customHeight="1" x14ac:dyDescent="0.3">
      <c r="A98" s="3"/>
      <c r="B98" s="38">
        <v>14</v>
      </c>
      <c r="C98" s="10">
        <v>4.3</v>
      </c>
      <c r="D98" s="11">
        <v>3</v>
      </c>
      <c r="E98" s="11">
        <v>1.1000000000000001</v>
      </c>
      <c r="F98" s="11">
        <v>0.1</v>
      </c>
      <c r="G98" s="39">
        <v>0</v>
      </c>
      <c r="I98" s="38">
        <f>I97-K2*T97</f>
        <v>0.33076271196844093</v>
      </c>
      <c r="J98" s="40">
        <f>J97-K2*U97</f>
        <v>-0.68728866751038653</v>
      </c>
      <c r="K98" s="40">
        <f>K97-K2*V97</f>
        <v>-8.7644875095438793E-2</v>
      </c>
      <c r="L98" s="40">
        <f>L97-K2*W97</f>
        <v>0.51749281011388926</v>
      </c>
      <c r="M98" s="40">
        <f>M97-K2*X97</f>
        <v>0.56597842370727358</v>
      </c>
      <c r="N98" s="35">
        <f t="shared" si="30"/>
        <v>-2.2616732501165315</v>
      </c>
      <c r="O98" s="35">
        <f t="shared" si="31"/>
        <v>9.4347299534248794E-2</v>
      </c>
      <c r="P98" s="36">
        <f t="shared" si="32"/>
        <v>0</v>
      </c>
      <c r="Q98" s="36">
        <f t="shared" si="33"/>
        <v>9.4347299534248794E-2</v>
      </c>
      <c r="R98" s="37">
        <f t="shared" si="34"/>
        <v>8.901412929405262E-3</v>
      </c>
      <c r="T98" s="31">
        <f t="shared" si="35"/>
        <v>1.612317731495326E-2</v>
      </c>
      <c r="U98" s="31">
        <f t="shared" si="36"/>
        <v>6.9329662454299015E-2</v>
      </c>
      <c r="V98" s="31">
        <f t="shared" si="37"/>
        <v>4.8369531944859781E-2</v>
      </c>
      <c r="W98" s="31">
        <f t="shared" si="38"/>
        <v>1.7735495046448588E-2</v>
      </c>
      <c r="X98" s="31">
        <f t="shared" si="39"/>
        <v>1.6123177314953262E-3</v>
      </c>
    </row>
    <row r="99" spans="1:24" ht="14.25" customHeight="1" x14ac:dyDescent="0.3">
      <c r="A99" s="3"/>
      <c r="B99" s="38">
        <v>15</v>
      </c>
      <c r="C99" s="10">
        <v>5.8</v>
      </c>
      <c r="D99" s="11">
        <v>4</v>
      </c>
      <c r="E99" s="11">
        <v>1.2</v>
      </c>
      <c r="F99" s="11">
        <v>0.2</v>
      </c>
      <c r="G99" s="39">
        <v>0</v>
      </c>
      <c r="I99" s="38">
        <f>I98-K2*T98</f>
        <v>0.32915039423694559</v>
      </c>
      <c r="J99" s="40">
        <f>J98-K2*U98</f>
        <v>-0.69422163375581647</v>
      </c>
      <c r="K99" s="40">
        <f>K98-K2*V98</f>
        <v>-9.2481828289924767E-2</v>
      </c>
      <c r="L99" s="40">
        <f>L98-K2*W98</f>
        <v>0.51571926060924445</v>
      </c>
      <c r="M99" s="40">
        <f>M98-K2*X98</f>
        <v>0.56581719193412405</v>
      </c>
      <c r="N99" s="35">
        <f t="shared" si="30"/>
        <v>-3.3352358435885705</v>
      </c>
      <c r="O99" s="35">
        <f t="shared" si="31"/>
        <v>3.438197661603954E-2</v>
      </c>
      <c r="P99" s="36">
        <f t="shared" si="32"/>
        <v>0</v>
      </c>
      <c r="Q99" s="36">
        <f t="shared" si="33"/>
        <v>3.438197661603954E-2</v>
      </c>
      <c r="R99" s="37">
        <f t="shared" si="34"/>
        <v>1.1821203160258897E-3</v>
      </c>
      <c r="T99" s="31">
        <f t="shared" si="35"/>
        <v>2.2829533659258845E-3</v>
      </c>
      <c r="U99" s="31">
        <f t="shared" si="36"/>
        <v>1.3241129522370131E-2</v>
      </c>
      <c r="V99" s="31">
        <f t="shared" si="37"/>
        <v>9.1318134637035382E-3</v>
      </c>
      <c r="W99" s="31">
        <f t="shared" si="38"/>
        <v>2.7395440391110612E-3</v>
      </c>
      <c r="X99" s="31">
        <f t="shared" si="39"/>
        <v>4.5659067318517692E-4</v>
      </c>
    </row>
    <row r="100" spans="1:24" ht="14.25" customHeight="1" x14ac:dyDescent="0.3">
      <c r="A100" s="3"/>
      <c r="B100" s="38">
        <v>16</v>
      </c>
      <c r="C100" s="10">
        <v>5.7</v>
      </c>
      <c r="D100" s="11">
        <v>4.4000000000000004</v>
      </c>
      <c r="E100" s="11">
        <v>1.5</v>
      </c>
      <c r="F100" s="11">
        <v>0.4</v>
      </c>
      <c r="G100" s="39">
        <v>0</v>
      </c>
      <c r="I100" s="38">
        <f>I99-K2*T99</f>
        <v>0.32892209890035301</v>
      </c>
      <c r="J100" s="40">
        <f>J99-K2*U99</f>
        <v>-0.69554574670805347</v>
      </c>
      <c r="K100" s="40">
        <f>K99-K2*V99</f>
        <v>-9.3395009636295115E-2</v>
      </c>
      <c r="L100" s="40">
        <f>L99-K2*W99</f>
        <v>0.51544530620533335</v>
      </c>
      <c r="M100" s="40">
        <f>M99-K2*X99</f>
        <v>0.56577153286680548</v>
      </c>
      <c r="N100" s="35">
        <f t="shared" si="30"/>
        <v>-3.0471501272805277</v>
      </c>
      <c r="O100" s="35">
        <f t="shared" si="31"/>
        <v>4.5340670209397631E-2</v>
      </c>
      <c r="P100" s="36">
        <f t="shared" si="32"/>
        <v>0</v>
      </c>
      <c r="Q100" s="36">
        <f t="shared" si="33"/>
        <v>4.5340670209397631E-2</v>
      </c>
      <c r="R100" s="37">
        <f t="shared" si="34"/>
        <v>2.055776375037358E-3</v>
      </c>
      <c r="T100" s="31">
        <f t="shared" si="35"/>
        <v>3.9251321927850358E-3</v>
      </c>
      <c r="U100" s="31">
        <f t="shared" si="36"/>
        <v>2.2373253498874705E-2</v>
      </c>
      <c r="V100" s="31">
        <f t="shared" si="37"/>
        <v>1.7270581648254159E-2</v>
      </c>
      <c r="W100" s="31">
        <f t="shared" si="38"/>
        <v>5.8876982891775537E-3</v>
      </c>
      <c r="X100" s="31">
        <f t="shared" si="39"/>
        <v>1.5700528771140144E-3</v>
      </c>
    </row>
    <row r="101" spans="1:24" ht="14.25" customHeight="1" x14ac:dyDescent="0.3">
      <c r="A101" s="3"/>
      <c r="B101" s="38">
        <v>17</v>
      </c>
      <c r="C101" s="10">
        <v>5.4</v>
      </c>
      <c r="D101" s="11">
        <v>3.9</v>
      </c>
      <c r="E101" s="11">
        <v>1.3</v>
      </c>
      <c r="F101" s="11">
        <v>0.4</v>
      </c>
      <c r="G101" s="39">
        <v>0</v>
      </c>
      <c r="I101" s="38">
        <f>I100-K2*T100</f>
        <v>0.32852958568107449</v>
      </c>
      <c r="J101" s="40">
        <f>J100-K2*U100</f>
        <v>-0.69778307205794099</v>
      </c>
      <c r="K101" s="40">
        <f>K100-K2*V100</f>
        <v>-9.5122067801120536E-2</v>
      </c>
      <c r="L101" s="40">
        <f>L100-K2*W100</f>
        <v>0.5148565363764156</v>
      </c>
      <c r="M101" s="40">
        <f>M100-K2*X100</f>
        <v>0.56561452757909403</v>
      </c>
      <c r="N101" s="35">
        <f t="shared" si="30"/>
        <v>-2.9149157595351998</v>
      </c>
      <c r="O101" s="35">
        <f t="shared" si="31"/>
        <v>5.1421130060852561E-2</v>
      </c>
      <c r="P101" s="36">
        <f t="shared" si="32"/>
        <v>0</v>
      </c>
      <c r="Q101" s="36">
        <f t="shared" si="33"/>
        <v>5.1421130060852561E-2</v>
      </c>
      <c r="R101" s="37">
        <f t="shared" si="34"/>
        <v>2.6441326167351148E-3</v>
      </c>
      <c r="T101" s="31">
        <f t="shared" si="35"/>
        <v>5.0163366591036724E-3</v>
      </c>
      <c r="U101" s="31">
        <f t="shared" si="36"/>
        <v>2.7088217959159833E-2</v>
      </c>
      <c r="V101" s="31">
        <f t="shared" si="37"/>
        <v>1.9563712970504323E-2</v>
      </c>
      <c r="W101" s="31">
        <f t="shared" si="38"/>
        <v>6.5212376568347741E-3</v>
      </c>
      <c r="X101" s="31">
        <f t="shared" si="39"/>
        <v>2.006534663641469E-3</v>
      </c>
    </row>
    <row r="102" spans="1:24" ht="14.25" customHeight="1" x14ac:dyDescent="0.3">
      <c r="A102" s="3"/>
      <c r="B102" s="38">
        <v>18</v>
      </c>
      <c r="C102" s="10">
        <v>5.0999999999999996</v>
      </c>
      <c r="D102" s="11">
        <v>3.5</v>
      </c>
      <c r="E102" s="11">
        <v>1.4</v>
      </c>
      <c r="F102" s="11">
        <v>0.3</v>
      </c>
      <c r="G102" s="39">
        <v>0</v>
      </c>
      <c r="I102" s="38">
        <f>I101-K2*T101</f>
        <v>0.3280279520151641</v>
      </c>
      <c r="J102" s="40">
        <f>J101-K2*U101</f>
        <v>-0.70049189385385702</v>
      </c>
      <c r="K102" s="40">
        <f>K101-K2*V101</f>
        <v>-9.7078439098170974E-2</v>
      </c>
      <c r="L102" s="40">
        <f>L101-K2*W101</f>
        <v>0.51420441261073213</v>
      </c>
      <c r="M102" s="40">
        <f>M101-K2*X101</f>
        <v>0.56541387411272992</v>
      </c>
      <c r="N102" s="35">
        <f t="shared" si="30"/>
        <v>-2.6947449035942608</v>
      </c>
      <c r="O102" s="35">
        <f t="shared" si="31"/>
        <v>6.3284160358003327E-2</v>
      </c>
      <c r="P102" s="36">
        <f t="shared" si="32"/>
        <v>0</v>
      </c>
      <c r="Q102" s="36">
        <f t="shared" si="33"/>
        <v>6.3284160358003327E-2</v>
      </c>
      <c r="R102" s="37">
        <f t="shared" si="34"/>
        <v>4.0048849522174796E-3</v>
      </c>
      <c r="T102" s="31">
        <f t="shared" si="35"/>
        <v>7.502878341371989E-3</v>
      </c>
      <c r="U102" s="31">
        <f t="shared" si="36"/>
        <v>3.8264679540997139E-2</v>
      </c>
      <c r="V102" s="31">
        <f t="shared" si="37"/>
        <v>2.6260074194801961E-2</v>
      </c>
      <c r="W102" s="31">
        <f t="shared" si="38"/>
        <v>1.0504029677920784E-2</v>
      </c>
      <c r="X102" s="31">
        <f t="shared" si="39"/>
        <v>2.2508635024115968E-3</v>
      </c>
    </row>
    <row r="103" spans="1:24" ht="14.25" customHeight="1" x14ac:dyDescent="0.3">
      <c r="A103" s="3"/>
      <c r="B103" s="38">
        <v>19</v>
      </c>
      <c r="C103" s="10">
        <v>5.7</v>
      </c>
      <c r="D103" s="11">
        <v>3.8</v>
      </c>
      <c r="E103" s="11">
        <v>1.7</v>
      </c>
      <c r="F103" s="11">
        <v>0.3</v>
      </c>
      <c r="G103" s="39">
        <v>0</v>
      </c>
      <c r="I103" s="38">
        <f>I102-K2*T102</f>
        <v>0.32727766418102688</v>
      </c>
      <c r="J103" s="40">
        <f>J102-K2*U102</f>
        <v>-0.70431836180795671</v>
      </c>
      <c r="K103" s="40">
        <f>K102-K2*V102</f>
        <v>-9.9704446517651174E-2</v>
      </c>
      <c r="L103" s="40">
        <f>L102-K2*W102</f>
        <v>0.51315400964294</v>
      </c>
      <c r="M103" s="40">
        <f>M102-K2*X102</f>
        <v>0.56518878776248871</v>
      </c>
      <c r="N103" s="35">
        <f t="shared" si="30"/>
        <v>-3.0242954421696568</v>
      </c>
      <c r="O103" s="35">
        <f t="shared" si="31"/>
        <v>4.6340276320387425E-2</v>
      </c>
      <c r="P103" s="36">
        <f t="shared" si="32"/>
        <v>0</v>
      </c>
      <c r="Q103" s="36">
        <f t="shared" si="33"/>
        <v>4.6340276320387425E-2</v>
      </c>
      <c r="R103" s="37">
        <f t="shared" si="34"/>
        <v>2.1474212094498594E-3</v>
      </c>
      <c r="T103" s="31">
        <f t="shared" si="35"/>
        <v>4.095818234455385E-3</v>
      </c>
      <c r="U103" s="31">
        <f t="shared" si="36"/>
        <v>2.3346163936395697E-2</v>
      </c>
      <c r="V103" s="31">
        <f t="shared" si="37"/>
        <v>1.5564109290930462E-2</v>
      </c>
      <c r="W103" s="31">
        <f t="shared" si="38"/>
        <v>6.9628909985741541E-3</v>
      </c>
      <c r="X103" s="31">
        <f t="shared" si="39"/>
        <v>1.2287454703366154E-3</v>
      </c>
    </row>
    <row r="104" spans="1:24" ht="14.25" customHeight="1" x14ac:dyDescent="0.3">
      <c r="A104" s="3"/>
      <c r="B104" s="38">
        <v>20</v>
      </c>
      <c r="C104" s="10">
        <v>5.0999999999999996</v>
      </c>
      <c r="D104" s="11">
        <v>3.8</v>
      </c>
      <c r="E104" s="11">
        <v>1.5</v>
      </c>
      <c r="F104" s="11">
        <v>0.3</v>
      </c>
      <c r="G104" s="39">
        <v>0</v>
      </c>
      <c r="I104" s="38">
        <f>I103-K2*T103</f>
        <v>0.32686808235758136</v>
      </c>
      <c r="J104" s="40">
        <f>J103-K2*U103</f>
        <v>-0.70665297820159623</v>
      </c>
      <c r="K104" s="40">
        <f>K103-K2*V103</f>
        <v>-0.10126085744674422</v>
      </c>
      <c r="L104" s="40">
        <f>L103-K2*W103</f>
        <v>0.51245772054308258</v>
      </c>
      <c r="M104" s="40">
        <f>M103-K2*X103</f>
        <v>0.56506591321545507</v>
      </c>
      <c r="N104" s="35">
        <f t="shared" si="30"/>
        <v>-2.7236470099889267</v>
      </c>
      <c r="O104" s="35">
        <f t="shared" si="31"/>
        <v>6.1592336415868441E-2</v>
      </c>
      <c r="P104" s="36">
        <f t="shared" si="32"/>
        <v>0</v>
      </c>
      <c r="Q104" s="36">
        <f t="shared" si="33"/>
        <v>6.1592336415868441E-2</v>
      </c>
      <c r="R104" s="37">
        <f t="shared" si="34"/>
        <v>3.7936159051655139E-3</v>
      </c>
      <c r="T104" s="31">
        <f t="shared" si="35"/>
        <v>7.1199164762039396E-3</v>
      </c>
      <c r="U104" s="31">
        <f t="shared" si="36"/>
        <v>3.631157402864009E-2</v>
      </c>
      <c r="V104" s="31">
        <f t="shared" si="37"/>
        <v>2.7055682609574968E-2</v>
      </c>
      <c r="W104" s="31">
        <f t="shared" si="38"/>
        <v>1.0679874714305908E-2</v>
      </c>
      <c r="X104" s="31">
        <f t="shared" si="39"/>
        <v>2.1359749428611816E-3</v>
      </c>
    </row>
    <row r="105" spans="1:24" ht="14.25" customHeight="1" x14ac:dyDescent="0.3">
      <c r="A105" s="3"/>
      <c r="B105" s="38">
        <v>21</v>
      </c>
      <c r="C105" s="10">
        <v>5.4</v>
      </c>
      <c r="D105" s="11">
        <v>3.4</v>
      </c>
      <c r="E105" s="11">
        <v>1.7</v>
      </c>
      <c r="F105" s="11">
        <v>0.2</v>
      </c>
      <c r="G105" s="39">
        <v>0</v>
      </c>
      <c r="I105" s="38">
        <f>I104-K2*T104</f>
        <v>0.32615609070996099</v>
      </c>
      <c r="J105" s="40">
        <f>J104-K2*U104</f>
        <v>-0.71028413560446024</v>
      </c>
      <c r="K105" s="40">
        <f>K104-K2*V104</f>
        <v>-0.10396642570770172</v>
      </c>
      <c r="L105" s="40">
        <f>L104-K2*W104</f>
        <v>0.51138973307165203</v>
      </c>
      <c r="M105" s="40">
        <f>M104-K2*X104</f>
        <v>0.56485231572116901</v>
      </c>
      <c r="N105" s="35">
        <f t="shared" si="30"/>
        <v>-2.880531079594268</v>
      </c>
      <c r="O105" s="35">
        <f t="shared" si="31"/>
        <v>5.3124415578767799E-2</v>
      </c>
      <c r="P105" s="36">
        <f t="shared" si="32"/>
        <v>0</v>
      </c>
      <c r="Q105" s="36">
        <f t="shared" si="33"/>
        <v>5.3124415578767799E-2</v>
      </c>
      <c r="R105" s="37">
        <f t="shared" si="34"/>
        <v>2.8222035305856268E-3</v>
      </c>
      <c r="T105" s="31">
        <f t="shared" si="35"/>
        <v>5.3445512347578602E-3</v>
      </c>
      <c r="U105" s="31">
        <f t="shared" si="36"/>
        <v>2.8860576667692445E-2</v>
      </c>
      <c r="V105" s="31">
        <f t="shared" si="37"/>
        <v>1.8171474198176725E-2</v>
      </c>
      <c r="W105" s="31">
        <f t="shared" si="38"/>
        <v>9.0857370990883625E-3</v>
      </c>
      <c r="X105" s="31">
        <f t="shared" si="39"/>
        <v>1.068910246951572E-3</v>
      </c>
    </row>
    <row r="106" spans="1:24" ht="14.25" customHeight="1" x14ac:dyDescent="0.3">
      <c r="A106" s="3"/>
      <c r="B106" s="38">
        <v>22</v>
      </c>
      <c r="C106" s="10">
        <v>5.0999999999999996</v>
      </c>
      <c r="D106" s="11">
        <v>3.7</v>
      </c>
      <c r="E106" s="11">
        <v>1.5</v>
      </c>
      <c r="F106" s="11">
        <v>0.4</v>
      </c>
      <c r="G106" s="39">
        <v>0</v>
      </c>
      <c r="I106" s="38">
        <f>I105-K2*T105</f>
        <v>0.32562163558648521</v>
      </c>
      <c r="J106" s="40">
        <f>J105-K2*U105</f>
        <v>-0.71317019327122944</v>
      </c>
      <c r="K106" s="40">
        <f>K105-K2*V105</f>
        <v>-0.10578357312751939</v>
      </c>
      <c r="L106" s="40">
        <f>L105-K2*W105</f>
        <v>0.51048115936174321</v>
      </c>
      <c r="M106" s="40">
        <f>M105-K2*X105</f>
        <v>0.56474542469647382</v>
      </c>
      <c r="N106" s="35">
        <f t="shared" si="30"/>
        <v>-2.7113256617474022</v>
      </c>
      <c r="O106" s="35">
        <f t="shared" si="31"/>
        <v>6.2308353281599879E-2</v>
      </c>
      <c r="P106" s="36">
        <f t="shared" si="32"/>
        <v>0</v>
      </c>
      <c r="Q106" s="36">
        <f t="shared" si="33"/>
        <v>6.2308353281599879E-2</v>
      </c>
      <c r="R106" s="37">
        <f t="shared" si="34"/>
        <v>3.8823308886646586E-3</v>
      </c>
      <c r="T106" s="31">
        <f t="shared" si="35"/>
        <v>7.2808584881953464E-3</v>
      </c>
      <c r="U106" s="31">
        <f t="shared" si="36"/>
        <v>3.7132378289796264E-2</v>
      </c>
      <c r="V106" s="31">
        <f t="shared" si="37"/>
        <v>2.6939176406322783E-2</v>
      </c>
      <c r="W106" s="31">
        <f t="shared" si="38"/>
        <v>1.092128773229302E-2</v>
      </c>
      <c r="X106" s="31">
        <f t="shared" si="39"/>
        <v>2.9123433952781387E-3</v>
      </c>
    </row>
    <row r="107" spans="1:24" ht="14.25" customHeight="1" x14ac:dyDescent="0.3">
      <c r="A107" s="3"/>
      <c r="B107" s="38">
        <v>23</v>
      </c>
      <c r="C107" s="10">
        <v>4.5999999999999996</v>
      </c>
      <c r="D107" s="11">
        <v>3.6</v>
      </c>
      <c r="E107" s="11">
        <v>1</v>
      </c>
      <c r="F107" s="11">
        <v>0.2</v>
      </c>
      <c r="G107" s="39">
        <v>0</v>
      </c>
      <c r="I107" s="38">
        <f>I106-K2*T106</f>
        <v>0.32489354973766565</v>
      </c>
      <c r="J107" s="40">
        <f>J106-K2*U106</f>
        <v>-0.71688343110020902</v>
      </c>
      <c r="K107" s="40">
        <f>K106-K2*V106</f>
        <v>-0.10847749076815166</v>
      </c>
      <c r="L107" s="40">
        <f>L106-K2*W106</f>
        <v>0.50938903058851392</v>
      </c>
      <c r="M107" s="40">
        <f>M106-K2*X106</f>
        <v>0.564454190356946</v>
      </c>
      <c r="N107" s="35">
        <f t="shared" si="30"/>
        <v>-2.7410093314287387</v>
      </c>
      <c r="O107" s="35">
        <f t="shared" si="31"/>
        <v>6.0596422144768201E-2</v>
      </c>
      <c r="P107" s="36">
        <f t="shared" si="32"/>
        <v>0</v>
      </c>
      <c r="Q107" s="36">
        <f t="shared" si="33"/>
        <v>6.0596422144768201E-2</v>
      </c>
      <c r="R107" s="37">
        <f t="shared" si="34"/>
        <v>3.6719263767469542E-3</v>
      </c>
      <c r="T107" s="31">
        <f t="shared" si="35"/>
        <v>6.8988415518741724E-3</v>
      </c>
      <c r="U107" s="31">
        <f t="shared" si="36"/>
        <v>3.173467113862119E-2</v>
      </c>
      <c r="V107" s="31">
        <f t="shared" si="37"/>
        <v>2.4835829586747023E-2</v>
      </c>
      <c r="W107" s="31">
        <f t="shared" si="38"/>
        <v>6.8988415518741724E-3</v>
      </c>
      <c r="X107" s="31">
        <f t="shared" si="39"/>
        <v>1.3797683103748345E-3</v>
      </c>
    </row>
    <row r="108" spans="1:24" ht="14.25" customHeight="1" x14ac:dyDescent="0.3">
      <c r="A108" s="3"/>
      <c r="B108" s="38">
        <v>24</v>
      </c>
      <c r="C108" s="10">
        <v>5.0999999999999996</v>
      </c>
      <c r="D108" s="11">
        <v>3.3</v>
      </c>
      <c r="E108" s="11">
        <v>1.7</v>
      </c>
      <c r="F108" s="11">
        <v>0.5</v>
      </c>
      <c r="G108" s="39">
        <v>0</v>
      </c>
      <c r="I108" s="38">
        <f>I107-K2*T107</f>
        <v>0.32420366558247826</v>
      </c>
      <c r="J108" s="40">
        <f>J107-K2*U107</f>
        <v>-0.72005689821407115</v>
      </c>
      <c r="K108" s="40">
        <f>K107-K2*V107</f>
        <v>-0.11096107372682637</v>
      </c>
      <c r="L108" s="40">
        <f>L107-K2*W107</f>
        <v>0.50869914643332648</v>
      </c>
      <c r="M108" s="40">
        <f>M107-K2*X107</f>
        <v>0.56431621352590855</v>
      </c>
      <c r="N108" s="35">
        <f t="shared" si="30"/>
        <v>-2.567311402908202</v>
      </c>
      <c r="O108" s="35">
        <f t="shared" si="31"/>
        <v>7.1272063655343443E-2</v>
      </c>
      <c r="P108" s="36">
        <f t="shared" si="32"/>
        <v>0</v>
      </c>
      <c r="Q108" s="36">
        <f t="shared" si="33"/>
        <v>7.1272063655343443E-2</v>
      </c>
      <c r="R108" s="37">
        <f t="shared" si="34"/>
        <v>5.0797070576913276E-3</v>
      </c>
      <c r="T108" s="31">
        <f t="shared" si="35"/>
        <v>9.4353317058501075E-3</v>
      </c>
      <c r="U108" s="31">
        <f t="shared" si="36"/>
        <v>4.8120191699835543E-2</v>
      </c>
      <c r="V108" s="31">
        <f t="shared" si="37"/>
        <v>3.1136594629305354E-2</v>
      </c>
      <c r="W108" s="31">
        <f t="shared" si="38"/>
        <v>1.6040063899945181E-2</v>
      </c>
      <c r="X108" s="31">
        <f t="shared" si="39"/>
        <v>4.7176658529250537E-3</v>
      </c>
    </row>
    <row r="109" spans="1:24" ht="14.25" customHeight="1" x14ac:dyDescent="0.3">
      <c r="A109" s="3"/>
      <c r="B109" s="38">
        <v>25</v>
      </c>
      <c r="C109" s="10">
        <v>4.8</v>
      </c>
      <c r="D109" s="11">
        <v>3.4</v>
      </c>
      <c r="E109" s="11">
        <v>1.9</v>
      </c>
      <c r="F109" s="11">
        <v>0.2</v>
      </c>
      <c r="G109" s="39">
        <v>0</v>
      </c>
      <c r="I109" s="38">
        <f>I108-K2*T108</f>
        <v>0.32326013241189328</v>
      </c>
      <c r="J109" s="40">
        <f>J108-K2*U108</f>
        <v>-0.72486891738405468</v>
      </c>
      <c r="K109" s="40">
        <f>K108-K2*V108</f>
        <v>-0.1140747331897569</v>
      </c>
      <c r="L109" s="40">
        <f>L108-K2*W108</f>
        <v>0.507095140043332</v>
      </c>
      <c r="M109" s="40">
        <f>M108-K2*X108</f>
        <v>0.56384444694061608</v>
      </c>
      <c r="N109" s="35">
        <f t="shared" si="30"/>
        <v>-2.4677151084062885</v>
      </c>
      <c r="O109" s="35">
        <f t="shared" si="31"/>
        <v>7.8152691210370509E-2</v>
      </c>
      <c r="P109" s="36">
        <f t="shared" si="32"/>
        <v>0</v>
      </c>
      <c r="Q109" s="36">
        <f t="shared" si="33"/>
        <v>7.8152691210370509E-2</v>
      </c>
      <c r="R109" s="37">
        <f t="shared" si="34"/>
        <v>6.1078431434235239E-3</v>
      </c>
      <c r="T109" s="31">
        <f t="shared" si="35"/>
        <v>1.1260997528548332E-2</v>
      </c>
      <c r="U109" s="31">
        <f t="shared" si="36"/>
        <v>5.4052788137031994E-2</v>
      </c>
      <c r="V109" s="31">
        <f t="shared" si="37"/>
        <v>3.8287391597064326E-2</v>
      </c>
      <c r="W109" s="31">
        <f t="shared" si="38"/>
        <v>2.1395895304241831E-2</v>
      </c>
      <c r="X109" s="31">
        <f t="shared" si="39"/>
        <v>2.2521995057096663E-3</v>
      </c>
    </row>
    <row r="110" spans="1:24" ht="14.25" customHeight="1" x14ac:dyDescent="0.3">
      <c r="A110" s="3"/>
      <c r="B110" s="38">
        <v>26</v>
      </c>
      <c r="C110" s="10">
        <v>5</v>
      </c>
      <c r="D110" s="11">
        <v>3</v>
      </c>
      <c r="E110" s="11">
        <v>1.6</v>
      </c>
      <c r="F110" s="11">
        <v>0.2</v>
      </c>
      <c r="G110" s="39">
        <v>0</v>
      </c>
      <c r="I110" s="38">
        <f>I109-K2*T109</f>
        <v>0.32213403265903845</v>
      </c>
      <c r="J110" s="40">
        <f>J109-K2*U109</f>
        <v>-0.73027419619775791</v>
      </c>
      <c r="K110" s="40">
        <f>K109-K2*V109</f>
        <v>-0.11790347234946333</v>
      </c>
      <c r="L110" s="40">
        <f>L109-K2*W109</f>
        <v>0.50495555051290786</v>
      </c>
      <c r="M110" s="40">
        <f>M109-K2*X109</f>
        <v>0.56361922699004507</v>
      </c>
      <c r="N110" s="35">
        <f t="shared" si="30"/>
        <v>-2.7622946391594803</v>
      </c>
      <c r="O110" s="35">
        <f t="shared" si="31"/>
        <v>5.9396039046982478E-2</v>
      </c>
      <c r="P110" s="36">
        <f t="shared" si="32"/>
        <v>0</v>
      </c>
      <c r="Q110" s="36">
        <f t="shared" si="33"/>
        <v>5.9396039046982478E-2</v>
      </c>
      <c r="R110" s="37">
        <f t="shared" si="34"/>
        <v>3.527889454470667E-3</v>
      </c>
      <c r="T110" s="31">
        <f t="shared" si="35"/>
        <v>6.63669358935898E-3</v>
      </c>
      <c r="U110" s="31">
        <f t="shared" si="36"/>
        <v>3.3183467946794901E-2</v>
      </c>
      <c r="V110" s="31">
        <f t="shared" si="37"/>
        <v>1.9910080768076939E-2</v>
      </c>
      <c r="W110" s="31">
        <f t="shared" si="38"/>
        <v>1.0618709742974368E-2</v>
      </c>
      <c r="X110" s="31">
        <f t="shared" si="39"/>
        <v>1.327338717871796E-3</v>
      </c>
    </row>
    <row r="111" spans="1:24" ht="14.25" customHeight="1" x14ac:dyDescent="0.3">
      <c r="A111" s="3"/>
      <c r="B111" s="38">
        <v>27</v>
      </c>
      <c r="C111" s="10">
        <v>5</v>
      </c>
      <c r="D111" s="11">
        <v>3.4</v>
      </c>
      <c r="E111" s="11">
        <v>1.6</v>
      </c>
      <c r="F111" s="11">
        <v>0.4</v>
      </c>
      <c r="G111" s="39">
        <v>0</v>
      </c>
      <c r="I111" s="38">
        <f>I110-K2*T110</f>
        <v>0.32147036330010254</v>
      </c>
      <c r="J111" s="40">
        <f>J110-K2*U110</f>
        <v>-0.73359254299243737</v>
      </c>
      <c r="K111" s="40">
        <f>K110-K2*V110</f>
        <v>-0.11989448042627102</v>
      </c>
      <c r="L111" s="40">
        <f>L110-K2*W110</f>
        <v>0.50389367953861042</v>
      </c>
      <c r="M111" s="40">
        <f>M110-K2*X110</f>
        <v>0.56348649311825794</v>
      </c>
      <c r="N111" s="35">
        <f t="shared" si="30"/>
        <v>-2.7225091006023261</v>
      </c>
      <c r="O111" s="35">
        <f t="shared" si="31"/>
        <v>6.1658138942158311E-2</v>
      </c>
      <c r="P111" s="36">
        <f t="shared" si="32"/>
        <v>0</v>
      </c>
      <c r="Q111" s="36">
        <f t="shared" si="33"/>
        <v>6.1658138942158311E-2</v>
      </c>
      <c r="R111" s="37">
        <f t="shared" si="34"/>
        <v>3.8017260978104993E-3</v>
      </c>
      <c r="T111" s="31">
        <f t="shared" si="35"/>
        <v>7.1346374837033396E-3</v>
      </c>
      <c r="U111" s="31">
        <f t="shared" si="36"/>
        <v>3.5673187418516696E-2</v>
      </c>
      <c r="V111" s="31">
        <f t="shared" si="37"/>
        <v>2.4257767444591353E-2</v>
      </c>
      <c r="W111" s="31">
        <f t="shared" si="38"/>
        <v>1.1415419973925344E-2</v>
      </c>
      <c r="X111" s="31">
        <f t="shared" si="39"/>
        <v>2.8538549934813361E-3</v>
      </c>
    </row>
    <row r="112" spans="1:24" ht="14.25" customHeight="1" x14ac:dyDescent="0.3">
      <c r="A112" s="3"/>
      <c r="B112" s="38">
        <v>28</v>
      </c>
      <c r="C112" s="10">
        <v>5.2</v>
      </c>
      <c r="D112" s="11">
        <v>3.5</v>
      </c>
      <c r="E112" s="11">
        <v>1.5</v>
      </c>
      <c r="F112" s="11">
        <v>0.2</v>
      </c>
      <c r="G112" s="39">
        <v>0</v>
      </c>
      <c r="I112" s="38">
        <f>I111-K2*T111</f>
        <v>0.3207568995517322</v>
      </c>
      <c r="J112" s="40">
        <f>J111-K2*U111</f>
        <v>-0.73715986173428905</v>
      </c>
      <c r="K112" s="40">
        <f>K111-K2*V111</f>
        <v>-0.12232025717073015</v>
      </c>
      <c r="L112" s="40">
        <f>L111-K2*W111</f>
        <v>0.50275213754121784</v>
      </c>
      <c r="M112" s="40">
        <f>M111-K2*X111</f>
        <v>0.56320110761890985</v>
      </c>
      <c r="N112" s="35">
        <f t="shared" si="30"/>
        <v>-3.073826853728518</v>
      </c>
      <c r="O112" s="35">
        <f t="shared" si="31"/>
        <v>4.4199875091702846E-2</v>
      </c>
      <c r="P112" s="36">
        <f t="shared" si="32"/>
        <v>0</v>
      </c>
      <c r="Q112" s="36">
        <f t="shared" si="33"/>
        <v>4.4199875091702846E-2</v>
      </c>
      <c r="R112" s="37">
        <f t="shared" si="34"/>
        <v>1.9536289581221335E-3</v>
      </c>
      <c r="T112" s="31">
        <f t="shared" si="35"/>
        <v>3.7345576043952035E-3</v>
      </c>
      <c r="U112" s="31">
        <f t="shared" si="36"/>
        <v>1.9419699542855058E-2</v>
      </c>
      <c r="V112" s="31">
        <f t="shared" si="37"/>
        <v>1.3070951615383212E-2</v>
      </c>
      <c r="W112" s="31">
        <f t="shared" si="38"/>
        <v>5.6018364065928052E-3</v>
      </c>
      <c r="X112" s="31">
        <f t="shared" si="39"/>
        <v>7.469115208790407E-4</v>
      </c>
    </row>
    <row r="113" spans="1:24" ht="14.25" customHeight="1" x14ac:dyDescent="0.3">
      <c r="A113" s="3"/>
      <c r="B113" s="38">
        <v>29</v>
      </c>
      <c r="C113" s="10">
        <v>5.2</v>
      </c>
      <c r="D113" s="11">
        <v>3.4</v>
      </c>
      <c r="E113" s="11">
        <v>1.4</v>
      </c>
      <c r="F113" s="11">
        <v>0.2</v>
      </c>
      <c r="G113" s="39">
        <v>0</v>
      </c>
      <c r="I113" s="38">
        <f>I112-K2*T112</f>
        <v>0.32038344379129269</v>
      </c>
      <c r="J113" s="40">
        <f>J112-K2*U112</f>
        <v>-0.73910183168857457</v>
      </c>
      <c r="K113" s="40">
        <f>K112-K2*V112</f>
        <v>-0.12362735233226847</v>
      </c>
      <c r="L113" s="40">
        <f>L112-K2*W112</f>
        <v>0.5021919539005586</v>
      </c>
      <c r="M113" s="40">
        <f>M112-K2*X112</f>
        <v>0.56312641646682193</v>
      </c>
      <c r="N113" s="35">
        <f t="shared" si="30"/>
        <v>-3.1275850601648618</v>
      </c>
      <c r="O113" s="35">
        <f t="shared" si="31"/>
        <v>4.1983631003151514E-2</v>
      </c>
      <c r="P113" s="36">
        <f t="shared" si="32"/>
        <v>0</v>
      </c>
      <c r="Q113" s="36">
        <f t="shared" si="33"/>
        <v>4.1983631003151514E-2</v>
      </c>
      <c r="R113" s="37">
        <f t="shared" si="34"/>
        <v>1.7626252722087851E-3</v>
      </c>
      <c r="T113" s="31">
        <f t="shared" si="35"/>
        <v>3.3772477263670836E-3</v>
      </c>
      <c r="U113" s="31">
        <f t="shared" si="36"/>
        <v>1.7561688177108833E-2</v>
      </c>
      <c r="V113" s="31">
        <f t="shared" si="37"/>
        <v>1.1482642269648085E-2</v>
      </c>
      <c r="W113" s="31">
        <f t="shared" si="38"/>
        <v>4.7281468169139166E-3</v>
      </c>
      <c r="X113" s="31">
        <f t="shared" si="39"/>
        <v>6.7544954527341675E-4</v>
      </c>
    </row>
    <row r="114" spans="1:24" ht="14.25" customHeight="1" x14ac:dyDescent="0.3">
      <c r="A114" s="3"/>
      <c r="B114" s="38">
        <v>30</v>
      </c>
      <c r="C114" s="10">
        <v>4.7</v>
      </c>
      <c r="D114" s="11">
        <v>3.2</v>
      </c>
      <c r="E114" s="11">
        <v>1.6</v>
      </c>
      <c r="F114" s="11">
        <v>0.2</v>
      </c>
      <c r="G114" s="39">
        <v>0</v>
      </c>
      <c r="I114" s="38">
        <f>I113-K2*T113</f>
        <v>0.32004571901865597</v>
      </c>
      <c r="J114" s="40">
        <f>J113-K2*U113</f>
        <v>-0.74085800050628547</v>
      </c>
      <c r="K114" s="40">
        <f>K113-K2*V113</f>
        <v>-0.12477561655923328</v>
      </c>
      <c r="L114" s="40">
        <f>L113-K2*W113</f>
        <v>0.50171913921886724</v>
      </c>
      <c r="M114" s="40">
        <f>M113-K2*X113</f>
        <v>0.56305887151229461</v>
      </c>
      <c r="N114" s="35">
        <f t="shared" si="30"/>
        <v>-2.6459064592977861</v>
      </c>
      <c r="O114" s="35">
        <f t="shared" si="31"/>
        <v>6.6241761358917184E-2</v>
      </c>
      <c r="P114" s="36">
        <f t="shared" si="32"/>
        <v>0</v>
      </c>
      <c r="Q114" s="36">
        <f t="shared" si="33"/>
        <v>6.6241761358917184E-2</v>
      </c>
      <c r="R114" s="37">
        <f t="shared" si="34"/>
        <v>4.3879709479317337E-3</v>
      </c>
      <c r="T114" s="31">
        <f t="shared" si="35"/>
        <v>8.1946080470979565E-3</v>
      </c>
      <c r="U114" s="31">
        <f t="shared" si="36"/>
        <v>3.8514657821360397E-2</v>
      </c>
      <c r="V114" s="31">
        <f t="shared" si="37"/>
        <v>2.6222745750713462E-2</v>
      </c>
      <c r="W114" s="31">
        <f t="shared" si="38"/>
        <v>1.3111372875356731E-2</v>
      </c>
      <c r="X114" s="31">
        <f t="shared" si="39"/>
        <v>1.6389216094195914E-3</v>
      </c>
    </row>
    <row r="115" spans="1:24" ht="14.25" customHeight="1" x14ac:dyDescent="0.3">
      <c r="A115" s="3"/>
      <c r="B115" s="38">
        <v>31</v>
      </c>
      <c r="C115" s="10">
        <v>4.8</v>
      </c>
      <c r="D115" s="11">
        <v>3.1</v>
      </c>
      <c r="E115" s="11">
        <v>1.6</v>
      </c>
      <c r="F115" s="11">
        <v>0.2</v>
      </c>
      <c r="G115" s="39">
        <v>0</v>
      </c>
      <c r="I115" s="38">
        <f>I114-K2*T114</f>
        <v>0.31922625821394618</v>
      </c>
      <c r="J115" s="40">
        <f>J114-K2*U114</f>
        <v>-0.7447094662884215</v>
      </c>
      <c r="K115" s="40">
        <f>K114-K2*V114</f>
        <v>-0.12739789113430464</v>
      </c>
      <c r="L115" s="40">
        <f>L114-K2*W114</f>
        <v>0.50040800193133161</v>
      </c>
      <c r="M115" s="40">
        <f>M114-K2*X114</f>
        <v>0.56289497935135269</v>
      </c>
      <c r="N115" s="35">
        <f t="shared" si="30"/>
        <v>-2.73708084352642</v>
      </c>
      <c r="O115" s="35">
        <f t="shared" si="31"/>
        <v>6.0820435740033423E-2</v>
      </c>
      <c r="P115" s="36">
        <f t="shared" si="32"/>
        <v>0</v>
      </c>
      <c r="Q115" s="36">
        <f t="shared" si="33"/>
        <v>6.0820435740033423E-2</v>
      </c>
      <c r="R115" s="37">
        <f t="shared" si="34"/>
        <v>3.6991254036075347E-3</v>
      </c>
      <c r="T115" s="31">
        <f t="shared" si="35"/>
        <v>6.9482859694061953E-3</v>
      </c>
      <c r="U115" s="31">
        <f t="shared" si="36"/>
        <v>3.3351772653149737E-2</v>
      </c>
      <c r="V115" s="31">
        <f t="shared" si="37"/>
        <v>2.1539686505159205E-2</v>
      </c>
      <c r="W115" s="31">
        <f t="shared" si="38"/>
        <v>1.1117257551049912E-2</v>
      </c>
      <c r="X115" s="31">
        <f t="shared" si="39"/>
        <v>1.3896571938812391E-3</v>
      </c>
    </row>
    <row r="116" spans="1:24" ht="14.25" customHeight="1" x14ac:dyDescent="0.3">
      <c r="A116" s="3"/>
      <c r="B116" s="38">
        <v>32</v>
      </c>
      <c r="C116" s="10">
        <v>5.4</v>
      </c>
      <c r="D116" s="11">
        <v>3.4</v>
      </c>
      <c r="E116" s="11">
        <v>1.5</v>
      </c>
      <c r="F116" s="11">
        <v>0.4</v>
      </c>
      <c r="G116" s="39">
        <v>0</v>
      </c>
      <c r="I116" s="38">
        <f>I115-K2*T115</f>
        <v>0.31853142961700553</v>
      </c>
      <c r="J116" s="40">
        <f>J115-K2*U115</f>
        <v>-0.74804464355373645</v>
      </c>
      <c r="K116" s="40">
        <f>K115-K2*V115</f>
        <v>-0.12955185978482056</v>
      </c>
      <c r="L116" s="40">
        <f>L115-K2*W115</f>
        <v>0.49929627617622663</v>
      </c>
      <c r="M116" s="40">
        <f>M115-K2*X115</f>
        <v>0.56275601363196459</v>
      </c>
      <c r="N116" s="35">
        <f t="shared" si="30"/>
        <v>-3.1873391491244352</v>
      </c>
      <c r="O116" s="35">
        <f t="shared" si="31"/>
        <v>3.9644962761448459E-2</v>
      </c>
      <c r="P116" s="36">
        <f t="shared" si="32"/>
        <v>0</v>
      </c>
      <c r="Q116" s="36">
        <f t="shared" si="33"/>
        <v>3.9644962761448459E-2</v>
      </c>
      <c r="R116" s="37">
        <f t="shared" si="34"/>
        <v>1.5717230723566349E-3</v>
      </c>
      <c r="T116" s="31">
        <f t="shared" si="35"/>
        <v>3.0188243393634933E-3</v>
      </c>
      <c r="U116" s="31">
        <f t="shared" si="36"/>
        <v>1.6301651432562864E-2</v>
      </c>
      <c r="V116" s="31">
        <f t="shared" si="37"/>
        <v>1.0264002753835877E-2</v>
      </c>
      <c r="W116" s="31">
        <f t="shared" si="38"/>
        <v>4.5282365090452397E-3</v>
      </c>
      <c r="X116" s="31">
        <f t="shared" si="39"/>
        <v>1.2075297357453975E-3</v>
      </c>
    </row>
    <row r="117" spans="1:24" ht="14.25" customHeight="1" x14ac:dyDescent="0.3">
      <c r="A117" s="3"/>
      <c r="B117" s="38">
        <v>33</v>
      </c>
      <c r="C117" s="10">
        <v>5.2</v>
      </c>
      <c r="D117" s="11">
        <v>4.0999999999999996</v>
      </c>
      <c r="E117" s="11">
        <v>1.5</v>
      </c>
      <c r="F117" s="11">
        <v>0.1</v>
      </c>
      <c r="G117" s="39">
        <v>0</v>
      </c>
      <c r="I117" s="38">
        <f>I116-K2*T116</f>
        <v>0.31822954718306917</v>
      </c>
      <c r="J117" s="40">
        <f>J116-K2*U116</f>
        <v>-0.74967480869699277</v>
      </c>
      <c r="K117" s="40">
        <f>K116-K2*V116</f>
        <v>-0.13057826006020415</v>
      </c>
      <c r="L117" s="40">
        <f>L116-K2*W116</f>
        <v>0.49884345252532208</v>
      </c>
      <c r="M117" s="40">
        <f>M116-K2*X116</f>
        <v>0.56263526065839009</v>
      </c>
      <c r="N117" s="35">
        <f t="shared" ref="N117:N148" si="40">I117+J117*C117+K117*D117+L117*E117+F117*M117</f>
        <v>-3.3109216194343087</v>
      </c>
      <c r="O117" s="35">
        <f t="shared" ref="O117:O148" si="41">1/(1+EXP(-N117))</f>
        <v>3.5198408078501733E-2</v>
      </c>
      <c r="P117" s="36">
        <f t="shared" ref="P117:P148" si="42">IF(O117&gt;0.5,1,0)</f>
        <v>0</v>
      </c>
      <c r="Q117" s="36">
        <f t="shared" ref="Q117:Q148" si="43">O117-G117</f>
        <v>3.5198408078501733E-2</v>
      </c>
      <c r="R117" s="37">
        <f t="shared" ref="R117:R148" si="44">Q117^2</f>
        <v>1.2389279312607362E-3</v>
      </c>
      <c r="T117" s="31">
        <f t="shared" ref="T117:T148" si="45">2*(O117-G117)*(1-O117)*O117</f>
        <v>2.3906392807127334E-3</v>
      </c>
      <c r="U117" s="31">
        <f t="shared" ref="U117:U148" si="46">2*(O117-G117)*(1-O117)*O117*C117</f>
        <v>1.2431324259706214E-2</v>
      </c>
      <c r="V117" s="31">
        <f t="shared" ref="V117:V148" si="47">2*(O117-G117)*(1-O117)*O117*D117</f>
        <v>9.8016210509222056E-3</v>
      </c>
      <c r="W117" s="31">
        <f t="shared" ref="W117:W148" si="48">2*(O117-G117)*(1-O117)*O117*E117</f>
        <v>3.5859589210691001E-3</v>
      </c>
      <c r="X117" s="31">
        <f t="shared" ref="X117:X148" si="49">2*(O117-G117)*(1-O117)*O117*F117</f>
        <v>2.3906392807127334E-4</v>
      </c>
    </row>
    <row r="118" spans="1:24" ht="14.25" customHeight="1" x14ac:dyDescent="0.3">
      <c r="A118" s="3"/>
      <c r="B118" s="38">
        <v>34</v>
      </c>
      <c r="C118" s="10">
        <v>5.5</v>
      </c>
      <c r="D118" s="11">
        <v>4.2</v>
      </c>
      <c r="E118" s="11">
        <v>1.4</v>
      </c>
      <c r="F118" s="11">
        <v>0.2</v>
      </c>
      <c r="G118" s="39">
        <v>0</v>
      </c>
      <c r="I118" s="38">
        <f>I117-K2*T117</f>
        <v>0.3179904832549979</v>
      </c>
      <c r="J118" s="40">
        <f>J117-K2*U117</f>
        <v>-0.75091794112296339</v>
      </c>
      <c r="K118" s="40">
        <f>K117-K2*V117</f>
        <v>-0.13155842216529637</v>
      </c>
      <c r="L118" s="40">
        <f>L117-K2*W117</f>
        <v>0.49848485663321518</v>
      </c>
      <c r="M118" s="40">
        <f>M117-K2*X117</f>
        <v>0.56261135426558295</v>
      </c>
      <c r="N118" s="35">
        <f t="shared" si="40"/>
        <v>-3.5542024958759275</v>
      </c>
      <c r="O118" s="35">
        <f t="shared" si="41"/>
        <v>2.7808731862318675E-2</v>
      </c>
      <c r="P118" s="36">
        <f t="shared" si="42"/>
        <v>0</v>
      </c>
      <c r="Q118" s="36">
        <f t="shared" si="43"/>
        <v>2.7808731862318675E-2</v>
      </c>
      <c r="R118" s="37">
        <f t="shared" si="44"/>
        <v>7.733255677903378E-4</v>
      </c>
      <c r="T118" s="31">
        <f t="shared" si="45"/>
        <v>1.503640728866762E-3</v>
      </c>
      <c r="U118" s="31">
        <f t="shared" si="46"/>
        <v>8.2700240087671909E-3</v>
      </c>
      <c r="V118" s="31">
        <f t="shared" si="47"/>
        <v>6.3152910612404006E-3</v>
      </c>
      <c r="W118" s="31">
        <f t="shared" si="48"/>
        <v>2.1050970204134667E-3</v>
      </c>
      <c r="X118" s="31">
        <f t="shared" si="49"/>
        <v>3.0072814577335243E-4</v>
      </c>
    </row>
    <row r="119" spans="1:24" ht="14.25" customHeight="1" x14ac:dyDescent="0.3">
      <c r="A119" s="3"/>
      <c r="B119" s="38">
        <v>35</v>
      </c>
      <c r="C119" s="10">
        <v>4.9000000000000004</v>
      </c>
      <c r="D119" s="11">
        <v>3.1</v>
      </c>
      <c r="E119" s="11">
        <v>1.5</v>
      </c>
      <c r="F119" s="11">
        <v>0.1</v>
      </c>
      <c r="G119" s="39">
        <v>0</v>
      </c>
      <c r="I119" s="38">
        <f>I118-K2*T118</f>
        <v>0.31784011918211125</v>
      </c>
      <c r="J119" s="40">
        <f>J118-K2*U118</f>
        <v>-0.75174494352384014</v>
      </c>
      <c r="K119" s="40">
        <f>K118-K2*V118</f>
        <v>-0.13218995127142041</v>
      </c>
      <c r="L119" s="40">
        <f>L118-K2*W118</f>
        <v>0.49827434693117384</v>
      </c>
      <c r="M119" s="40">
        <f>M118-K2*X118</f>
        <v>0.56258128145100561</v>
      </c>
      <c r="N119" s="35">
        <f t="shared" si="40"/>
        <v>-2.9718293044842476</v>
      </c>
      <c r="O119" s="35">
        <f t="shared" si="41"/>
        <v>4.8714879827847814E-2</v>
      </c>
      <c r="P119" s="36">
        <f t="shared" si="42"/>
        <v>0</v>
      </c>
      <c r="Q119" s="36">
        <f t="shared" si="43"/>
        <v>4.8714879827847814E-2</v>
      </c>
      <c r="R119" s="37">
        <f t="shared" si="44"/>
        <v>2.3731395166416537E-3</v>
      </c>
      <c r="T119" s="31">
        <f t="shared" si="45"/>
        <v>4.5150646205474772E-3</v>
      </c>
      <c r="U119" s="31">
        <f t="shared" si="46"/>
        <v>2.212381664068264E-2</v>
      </c>
      <c r="V119" s="31">
        <f t="shared" si="47"/>
        <v>1.3996700323697179E-2</v>
      </c>
      <c r="W119" s="31">
        <f t="shared" si="48"/>
        <v>6.7725969308212158E-3</v>
      </c>
      <c r="X119" s="31">
        <f t="shared" si="49"/>
        <v>4.5150646205474772E-4</v>
      </c>
    </row>
    <row r="120" spans="1:24" ht="14.25" customHeight="1" x14ac:dyDescent="0.3">
      <c r="A120" s="3"/>
      <c r="B120" s="38">
        <v>36</v>
      </c>
      <c r="C120" s="10">
        <v>5</v>
      </c>
      <c r="D120" s="11">
        <v>3.2</v>
      </c>
      <c r="E120" s="11">
        <v>1.2</v>
      </c>
      <c r="F120" s="11">
        <v>0.2</v>
      </c>
      <c r="G120" s="39">
        <v>0</v>
      </c>
      <c r="I120" s="38">
        <f>I119-K2*T119</f>
        <v>0.31738861272005647</v>
      </c>
      <c r="J120" s="40">
        <f>J119-K2*U119</f>
        <v>-0.75395732518790837</v>
      </c>
      <c r="K120" s="40">
        <f>K119-K2*V119</f>
        <v>-0.13358962130379012</v>
      </c>
      <c r="L120" s="40">
        <f>L119-K2*W119</f>
        <v>0.49759708723809171</v>
      </c>
      <c r="M120" s="40">
        <f>M119-K2*X119</f>
        <v>0.56253613080480014</v>
      </c>
      <c r="N120" s="35">
        <f t="shared" si="40"/>
        <v>-3.1702610705449441</v>
      </c>
      <c r="O120" s="35">
        <f t="shared" si="41"/>
        <v>4.0300316993825906E-2</v>
      </c>
      <c r="P120" s="36">
        <f t="shared" si="42"/>
        <v>0</v>
      </c>
      <c r="Q120" s="36">
        <f t="shared" si="43"/>
        <v>4.0300316993825906E-2</v>
      </c>
      <c r="R120" s="37">
        <f t="shared" si="44"/>
        <v>1.6241155498028532E-3</v>
      </c>
      <c r="T120" s="31">
        <f t="shared" si="45"/>
        <v>3.1173263566223928E-3</v>
      </c>
      <c r="U120" s="31">
        <f t="shared" si="46"/>
        <v>1.5586631783111964E-2</v>
      </c>
      <c r="V120" s="31">
        <f t="shared" si="47"/>
        <v>9.9754443411916582E-3</v>
      </c>
      <c r="W120" s="31">
        <f t="shared" si="48"/>
        <v>3.740791627946871E-3</v>
      </c>
      <c r="X120" s="31">
        <f t="shared" si="49"/>
        <v>6.2346527132447864E-4</v>
      </c>
    </row>
    <row r="121" spans="1:24" ht="14.25" customHeight="1" x14ac:dyDescent="0.3">
      <c r="A121" s="3"/>
      <c r="B121" s="38">
        <v>37</v>
      </c>
      <c r="C121" s="10">
        <v>5.5</v>
      </c>
      <c r="D121" s="11">
        <v>3.5</v>
      </c>
      <c r="E121" s="11">
        <v>1.3</v>
      </c>
      <c r="F121" s="11">
        <v>0.2</v>
      </c>
      <c r="G121" s="39">
        <v>0</v>
      </c>
      <c r="I121" s="38">
        <f>I120-K2*T120</f>
        <v>0.31707688008439422</v>
      </c>
      <c r="J121" s="40">
        <f>J120-K2*U120</f>
        <v>-0.75551598836621958</v>
      </c>
      <c r="K121" s="40">
        <f>K120-K2*V120</f>
        <v>-0.1345871657379093</v>
      </c>
      <c r="L121" s="40">
        <f>L120-K2*W120</f>
        <v>0.49722300807529701</v>
      </c>
      <c r="M121" s="40">
        <f>M120-K2*X120</f>
        <v>0.5624737842776677</v>
      </c>
      <c r="N121" s="35">
        <f t="shared" si="40"/>
        <v>-3.5504314686590766</v>
      </c>
      <c r="O121" s="35">
        <f t="shared" si="41"/>
        <v>2.7910864856961908E-2</v>
      </c>
      <c r="P121" s="36">
        <f t="shared" si="42"/>
        <v>0</v>
      </c>
      <c r="Q121" s="36">
        <f t="shared" si="43"/>
        <v>2.7910864856961908E-2</v>
      </c>
      <c r="R121" s="37">
        <f t="shared" si="44"/>
        <v>7.7901637706359128E-4</v>
      </c>
      <c r="T121" s="31">
        <f t="shared" si="45"/>
        <v>1.5145467124840185E-3</v>
      </c>
      <c r="U121" s="31">
        <f t="shared" si="46"/>
        <v>8.3300069186621022E-3</v>
      </c>
      <c r="V121" s="31">
        <f t="shared" si="47"/>
        <v>5.3009134936940648E-3</v>
      </c>
      <c r="W121" s="31">
        <f t="shared" si="48"/>
        <v>1.9689107262292243E-3</v>
      </c>
      <c r="X121" s="31">
        <f t="shared" si="49"/>
        <v>3.0290934249680373E-4</v>
      </c>
    </row>
    <row r="122" spans="1:24" ht="14.25" customHeight="1" x14ac:dyDescent="0.3">
      <c r="A122" s="3"/>
      <c r="B122" s="38">
        <v>38</v>
      </c>
      <c r="C122" s="10">
        <v>4.9000000000000004</v>
      </c>
      <c r="D122" s="11">
        <v>3.1</v>
      </c>
      <c r="E122" s="11">
        <v>1.5</v>
      </c>
      <c r="F122" s="11">
        <v>0.1</v>
      </c>
      <c r="G122" s="39">
        <v>0</v>
      </c>
      <c r="I122" s="38">
        <f>I121-K2*T121</f>
        <v>0.31692542541314583</v>
      </c>
      <c r="J122" s="40">
        <f>J121-K2*U121</f>
        <v>-0.75634898905808579</v>
      </c>
      <c r="K122" s="40">
        <f>K121-K2*V121</f>
        <v>-0.1351172570872787</v>
      </c>
      <c r="L122" s="40">
        <f>L121-K2*W121</f>
        <v>0.49702611700267407</v>
      </c>
      <c r="M122" s="40">
        <f>M121-K2*X121</f>
        <v>0.56244349334341803</v>
      </c>
      <c r="N122" s="35">
        <f t="shared" si="40"/>
        <v>-3.0062645931036855</v>
      </c>
      <c r="O122" s="35">
        <f t="shared" si="41"/>
        <v>4.7143660835909387E-2</v>
      </c>
      <c r="P122" s="36">
        <f t="shared" si="42"/>
        <v>0</v>
      </c>
      <c r="Q122" s="36">
        <f t="shared" si="43"/>
        <v>4.7143660835909387E-2</v>
      </c>
      <c r="R122" s="37">
        <f t="shared" si="44"/>
        <v>2.2225247570112567E-3</v>
      </c>
      <c r="T122" s="31">
        <f t="shared" si="45"/>
        <v>4.2354936073346122E-3</v>
      </c>
      <c r="U122" s="31">
        <f t="shared" si="46"/>
        <v>2.0753918675939603E-2</v>
      </c>
      <c r="V122" s="31">
        <f t="shared" si="47"/>
        <v>1.3130030182737298E-2</v>
      </c>
      <c r="W122" s="31">
        <f t="shared" si="48"/>
        <v>6.3532404110019178E-3</v>
      </c>
      <c r="X122" s="31">
        <f t="shared" si="49"/>
        <v>4.2354936073346123E-4</v>
      </c>
    </row>
    <row r="123" spans="1:24" ht="14.25" customHeight="1" x14ac:dyDescent="0.3">
      <c r="A123" s="3"/>
      <c r="B123" s="38">
        <v>39</v>
      </c>
      <c r="C123" s="10">
        <v>4.4000000000000004</v>
      </c>
      <c r="D123" s="11">
        <v>3</v>
      </c>
      <c r="E123" s="11">
        <v>1.3</v>
      </c>
      <c r="F123" s="11">
        <v>0.2</v>
      </c>
      <c r="G123" s="39">
        <v>0</v>
      </c>
      <c r="I123" s="38">
        <f>I122-K2*T122</f>
        <v>0.31650187605241237</v>
      </c>
      <c r="J123" s="40">
        <f>J122-K2*U122</f>
        <v>-0.75842438092567976</v>
      </c>
      <c r="K123" s="40">
        <f>K122-K2*V122</f>
        <v>-0.13643026010555243</v>
      </c>
      <c r="L123" s="40">
        <f>L122-K2*W122</f>
        <v>0.4963907929615739</v>
      </c>
      <c r="M123" s="40">
        <f>M122-K2*X122</f>
        <v>0.56240113840734474</v>
      </c>
      <c r="N123" s="35">
        <f t="shared" si="40"/>
        <v>-2.6720679218057213</v>
      </c>
      <c r="O123" s="35">
        <f t="shared" si="41"/>
        <v>6.4641822695652398E-2</v>
      </c>
      <c r="P123" s="36">
        <f t="shared" si="42"/>
        <v>0</v>
      </c>
      <c r="Q123" s="36">
        <f t="shared" si="43"/>
        <v>6.4641822695652398E-2</v>
      </c>
      <c r="R123" s="37">
        <f t="shared" si="44"/>
        <v>4.1785652414161618E-3</v>
      </c>
      <c r="T123" s="31">
        <f t="shared" si="45"/>
        <v>7.8169103359166433E-3</v>
      </c>
      <c r="U123" s="31">
        <f t="shared" si="46"/>
        <v>3.4394405478033234E-2</v>
      </c>
      <c r="V123" s="31">
        <f t="shared" si="47"/>
        <v>2.3450731007749928E-2</v>
      </c>
      <c r="W123" s="31">
        <f t="shared" si="48"/>
        <v>1.0161983436691637E-2</v>
      </c>
      <c r="X123" s="31">
        <f t="shared" si="49"/>
        <v>1.5633820671833287E-3</v>
      </c>
    </row>
    <row r="124" spans="1:24" ht="14.25" customHeight="1" x14ac:dyDescent="0.3">
      <c r="A124" s="3"/>
      <c r="B124" s="38">
        <v>40</v>
      </c>
      <c r="C124" s="10">
        <v>5.0999999999999996</v>
      </c>
      <c r="D124" s="11">
        <v>3.4</v>
      </c>
      <c r="E124" s="11">
        <v>1.5</v>
      </c>
      <c r="F124" s="11">
        <v>0.2</v>
      </c>
      <c r="G124" s="39">
        <v>0</v>
      </c>
      <c r="I124" s="38">
        <f>I123-K2*T123</f>
        <v>0.31572018501882071</v>
      </c>
      <c r="J124" s="40">
        <f>J123-K2*U123</f>
        <v>-0.76186382147348308</v>
      </c>
      <c r="K124" s="40">
        <f>K123-K2*V123</f>
        <v>-0.13877533320632743</v>
      </c>
      <c r="L124" s="40">
        <f>L123-K2*W123</f>
        <v>0.49537459461790473</v>
      </c>
      <c r="M124" s="40">
        <f>M123-K2*X123</f>
        <v>0.56224480020062639</v>
      </c>
      <c r="N124" s="35">
        <f t="shared" si="40"/>
        <v>-3.1861105854304737</v>
      </c>
      <c r="O124" s="35">
        <f t="shared" si="41"/>
        <v>3.9691764625542185E-2</v>
      </c>
      <c r="P124" s="36">
        <f t="shared" si="42"/>
        <v>0</v>
      </c>
      <c r="Q124" s="36">
        <f t="shared" si="43"/>
        <v>3.9691764625542185E-2</v>
      </c>
      <c r="R124" s="37">
        <f t="shared" si="44"/>
        <v>1.575436179089442E-3</v>
      </c>
      <c r="T124" s="31">
        <f t="shared" si="45"/>
        <v>3.0258086741729211E-3</v>
      </c>
      <c r="U124" s="31">
        <f t="shared" si="46"/>
        <v>1.5431624238281897E-2</v>
      </c>
      <c r="V124" s="31">
        <f t="shared" si="47"/>
        <v>1.0287749492187932E-2</v>
      </c>
      <c r="W124" s="31">
        <f t="shared" si="48"/>
        <v>4.5387130112593821E-3</v>
      </c>
      <c r="X124" s="31">
        <f t="shared" si="49"/>
        <v>6.0516173483458424E-4</v>
      </c>
    </row>
    <row r="125" spans="1:24" ht="14.25" customHeight="1" x14ac:dyDescent="0.3">
      <c r="A125" s="3"/>
      <c r="B125" s="38">
        <v>41</v>
      </c>
      <c r="C125" s="10">
        <v>7</v>
      </c>
      <c r="D125" s="11">
        <v>3.2</v>
      </c>
      <c r="E125" s="11">
        <v>4.7</v>
      </c>
      <c r="F125" s="11">
        <v>1.4</v>
      </c>
      <c r="G125" s="39">
        <v>1</v>
      </c>
      <c r="I125" s="38">
        <f>I124-K2*T124</f>
        <v>0.31541760415140341</v>
      </c>
      <c r="J125" s="40">
        <f>J124-K2*U124</f>
        <v>-0.76340698389731132</v>
      </c>
      <c r="K125" s="40">
        <f>K124-K2*V124</f>
        <v>-0.13980410815554623</v>
      </c>
      <c r="L125" s="40">
        <f>L124-K2*W124</f>
        <v>0.49492072331677878</v>
      </c>
      <c r="M125" s="40">
        <f>M124-K2*X124</f>
        <v>0.56218428402714293</v>
      </c>
      <c r="N125" s="35">
        <f t="shared" si="40"/>
        <v>-2.3626190320006635</v>
      </c>
      <c r="O125" s="35">
        <f t="shared" si="41"/>
        <v>8.6067957283151891E-2</v>
      </c>
      <c r="P125" s="36">
        <f t="shared" si="42"/>
        <v>0</v>
      </c>
      <c r="Q125" s="36">
        <f t="shared" si="43"/>
        <v>-0.91393204271684814</v>
      </c>
      <c r="R125" s="37">
        <f t="shared" si="44"/>
        <v>0.83527177870459068</v>
      </c>
      <c r="T125" s="31">
        <f t="shared" si="45"/>
        <v>-0.14378027153873801</v>
      </c>
      <c r="U125" s="31">
        <f t="shared" si="46"/>
        <v>-1.0064619007711662</v>
      </c>
      <c r="V125" s="31">
        <f t="shared" si="47"/>
        <v>-0.46009686892396168</v>
      </c>
      <c r="W125" s="31">
        <f t="shared" si="48"/>
        <v>-0.67576727623206867</v>
      </c>
      <c r="X125" s="31">
        <f t="shared" si="49"/>
        <v>-0.2012923801542332</v>
      </c>
    </row>
    <row r="126" spans="1:24" ht="14.25" customHeight="1" x14ac:dyDescent="0.3">
      <c r="A126" s="3"/>
      <c r="B126" s="38">
        <v>42</v>
      </c>
      <c r="C126" s="10">
        <v>6.4</v>
      </c>
      <c r="D126" s="11">
        <v>3.2</v>
      </c>
      <c r="E126" s="11">
        <v>4.5</v>
      </c>
      <c r="F126" s="11">
        <v>1.5</v>
      </c>
      <c r="G126" s="39">
        <v>1</v>
      </c>
      <c r="I126" s="38">
        <f>I125-K2*T125</f>
        <v>0.32979563130527723</v>
      </c>
      <c r="J126" s="40">
        <f>J125-K2*U125</f>
        <v>-0.6627607938201947</v>
      </c>
      <c r="K126" s="40">
        <f>K125-K2*V125</f>
        <v>-9.3794421263150046E-2</v>
      </c>
      <c r="L126" s="40">
        <f>L125-K2*W125</f>
        <v>0.5624974509399856</v>
      </c>
      <c r="M126" s="40">
        <f>M125-K2*X125</f>
        <v>0.58231352204256626</v>
      </c>
      <c r="N126" s="35">
        <f t="shared" si="40"/>
        <v>-0.8073067848922646</v>
      </c>
      <c r="O126" s="35">
        <f t="shared" si="41"/>
        <v>0.30846470025425282</v>
      </c>
      <c r="P126" s="36">
        <f t="shared" si="42"/>
        <v>0</v>
      </c>
      <c r="Q126" s="36">
        <f t="shared" si="43"/>
        <v>-0.69153529974574712</v>
      </c>
      <c r="R126" s="37">
        <f t="shared" si="44"/>
        <v>0.47822107079444032</v>
      </c>
      <c r="T126" s="31">
        <f t="shared" si="45"/>
        <v>-0.29502863851574967</v>
      </c>
      <c r="U126" s="31">
        <f t="shared" si="46"/>
        <v>-1.8881832865007979</v>
      </c>
      <c r="V126" s="31">
        <f t="shared" si="47"/>
        <v>-0.94409164325039896</v>
      </c>
      <c r="W126" s="31">
        <f t="shared" si="48"/>
        <v>-1.3276288733208736</v>
      </c>
      <c r="X126" s="31">
        <f t="shared" si="49"/>
        <v>-0.44254295777362451</v>
      </c>
    </row>
    <row r="127" spans="1:24" ht="14.25" customHeight="1" x14ac:dyDescent="0.3">
      <c r="A127" s="3"/>
      <c r="B127" s="38">
        <v>43</v>
      </c>
      <c r="C127" s="10">
        <v>6.9</v>
      </c>
      <c r="D127" s="11">
        <v>3.1</v>
      </c>
      <c r="E127" s="11">
        <v>4.9000000000000004</v>
      </c>
      <c r="F127" s="11">
        <v>1.5</v>
      </c>
      <c r="G127" s="39">
        <v>1</v>
      </c>
      <c r="I127" s="38">
        <f>I126-K2*T126</f>
        <v>0.35929849515685219</v>
      </c>
      <c r="J127" s="40">
        <f>J126-K2*U126</f>
        <v>-0.4739424651701149</v>
      </c>
      <c r="K127" s="40">
        <f>K126-K2*V126</f>
        <v>6.1474306188985528E-4</v>
      </c>
      <c r="L127" s="40">
        <f>L126-K2*W126</f>
        <v>0.69526033827207301</v>
      </c>
      <c r="M127" s="40">
        <f>M126-K2*X126</f>
        <v>0.62656781781992876</v>
      </c>
      <c r="N127" s="35">
        <f t="shared" si="40"/>
        <v>1.4376285732379688</v>
      </c>
      <c r="O127" s="35">
        <f t="shared" si="41"/>
        <v>0.80808715377679574</v>
      </c>
      <c r="P127" s="36">
        <f t="shared" si="42"/>
        <v>1</v>
      </c>
      <c r="Q127" s="36">
        <f t="shared" si="43"/>
        <v>-0.19191284622320426</v>
      </c>
      <c r="R127" s="37">
        <f t="shared" si="44"/>
        <v>3.6830540545491244E-2</v>
      </c>
      <c r="T127" s="31">
        <f t="shared" si="45"/>
        <v>-5.9524573362933784E-2</v>
      </c>
      <c r="U127" s="31">
        <f t="shared" si="46"/>
        <v>-0.41071955620424311</v>
      </c>
      <c r="V127" s="31">
        <f t="shared" si="47"/>
        <v>-0.18452617742509475</v>
      </c>
      <c r="W127" s="31">
        <f t="shared" si="48"/>
        <v>-0.29167040947837558</v>
      </c>
      <c r="X127" s="31">
        <f t="shared" si="49"/>
        <v>-8.9286860044400673E-2</v>
      </c>
    </row>
    <row r="128" spans="1:24" ht="14.25" customHeight="1" x14ac:dyDescent="0.3">
      <c r="A128" s="3"/>
      <c r="B128" s="38">
        <v>44</v>
      </c>
      <c r="C128" s="10">
        <v>5.5</v>
      </c>
      <c r="D128" s="11">
        <v>2.2999999999999998</v>
      </c>
      <c r="E128" s="11">
        <v>4</v>
      </c>
      <c r="F128" s="11">
        <v>1.3</v>
      </c>
      <c r="G128" s="39">
        <v>1</v>
      </c>
      <c r="I128" s="38">
        <f>I127-K2*T127</f>
        <v>0.3652509524931456</v>
      </c>
      <c r="J128" s="40">
        <f>J127-K2*U127</f>
        <v>-0.43287050954969059</v>
      </c>
      <c r="K128" s="40">
        <f>K127-K2*V127</f>
        <v>1.906736080439933E-2</v>
      </c>
      <c r="L128" s="40">
        <f>L127-K2*W127</f>
        <v>0.72442737921991052</v>
      </c>
      <c r="M128" s="40">
        <f>M127-K2*X127</f>
        <v>0.63549650382436884</v>
      </c>
      <c r="N128" s="35">
        <f t="shared" si="40"/>
        <v>1.7521730516712877</v>
      </c>
      <c r="O128" s="35">
        <f t="shared" si="41"/>
        <v>0.85222667772076788</v>
      </c>
      <c r="P128" s="36">
        <f t="shared" si="42"/>
        <v>1</v>
      </c>
      <c r="Q128" s="36">
        <f t="shared" si="43"/>
        <v>-0.14777332227923212</v>
      </c>
      <c r="R128" s="37">
        <f t="shared" si="44"/>
        <v>2.1836954777441801E-2</v>
      </c>
      <c r="T128" s="31">
        <f t="shared" si="45"/>
        <v>-3.7220070843035753E-2</v>
      </c>
      <c r="U128" s="31">
        <f t="shared" si="46"/>
        <v>-0.20471038963669663</v>
      </c>
      <c r="V128" s="31">
        <f t="shared" si="47"/>
        <v>-8.5606162938982225E-2</v>
      </c>
      <c r="W128" s="31">
        <f t="shared" si="48"/>
        <v>-0.14888028337214301</v>
      </c>
      <c r="X128" s="31">
        <f t="shared" si="49"/>
        <v>-4.8386092095946479E-2</v>
      </c>
    </row>
    <row r="129" spans="1:24" ht="14.25" customHeight="1" x14ac:dyDescent="0.3">
      <c r="A129" s="3"/>
      <c r="B129" s="38">
        <v>45</v>
      </c>
      <c r="C129" s="10">
        <v>6.5</v>
      </c>
      <c r="D129" s="11">
        <v>2.8</v>
      </c>
      <c r="E129" s="11">
        <v>4.5999999999999996</v>
      </c>
      <c r="F129" s="11">
        <v>1.5</v>
      </c>
      <c r="G129" s="39">
        <v>1</v>
      </c>
      <c r="I129" s="38">
        <f>I128-K2*T128</f>
        <v>0.36897295957744919</v>
      </c>
      <c r="J129" s="40">
        <f>J128-K2*U128</f>
        <v>-0.41239947058602094</v>
      </c>
      <c r="K129" s="40">
        <f>K128-K2*V128</f>
        <v>2.7627977098297556E-2</v>
      </c>
      <c r="L129" s="40">
        <f>L128-K2*W128</f>
        <v>0.73931540755712477</v>
      </c>
      <c r="M129" s="40">
        <f>M128-K2*X128</f>
        <v>0.64033511303396351</v>
      </c>
      <c r="N129" s="35">
        <f t="shared" si="40"/>
        <v>2.1270882809572651</v>
      </c>
      <c r="O129" s="35">
        <f t="shared" si="41"/>
        <v>0.89350827192366766</v>
      </c>
      <c r="P129" s="36">
        <f t="shared" si="42"/>
        <v>1</v>
      </c>
      <c r="Q129" s="36">
        <f t="shared" si="43"/>
        <v>-0.10649172807633234</v>
      </c>
      <c r="R129" s="37">
        <f t="shared" si="44"/>
        <v>1.1340488148683509E-2</v>
      </c>
      <c r="T129" s="31">
        <f t="shared" si="45"/>
        <v>-2.0265639937002072E-2</v>
      </c>
      <c r="U129" s="31">
        <f t="shared" si="46"/>
        <v>-0.13172665959051347</v>
      </c>
      <c r="V129" s="31">
        <f t="shared" si="47"/>
        <v>-5.6743791823605796E-2</v>
      </c>
      <c r="W129" s="31">
        <f t="shared" si="48"/>
        <v>-9.3221943710209518E-2</v>
      </c>
      <c r="X129" s="31">
        <f t="shared" si="49"/>
        <v>-3.0398459905503106E-2</v>
      </c>
    </row>
    <row r="130" spans="1:24" ht="14.25" customHeight="1" x14ac:dyDescent="0.3">
      <c r="A130" s="3"/>
      <c r="B130" s="38">
        <v>46</v>
      </c>
      <c r="C130" s="10">
        <v>5.7</v>
      </c>
      <c r="D130" s="11">
        <v>2.8</v>
      </c>
      <c r="E130" s="11">
        <v>4.5</v>
      </c>
      <c r="F130" s="11">
        <v>1.3</v>
      </c>
      <c r="G130" s="39">
        <v>1</v>
      </c>
      <c r="I130" s="38">
        <f>I129-K2*T129</f>
        <v>0.3709995235711494</v>
      </c>
      <c r="J130" s="40">
        <f>J129-K2*U129</f>
        <v>-0.39922680462696958</v>
      </c>
      <c r="K130" s="40">
        <f>K129-K2*V129</f>
        <v>3.3302356280658134E-2</v>
      </c>
      <c r="L130" s="40">
        <f>L129-K2*W129</f>
        <v>0.74863760192814577</v>
      </c>
      <c r="M130" s="40">
        <f>M129-K2*X129</f>
        <v>0.6433749590245138</v>
      </c>
      <c r="N130" s="35">
        <f t="shared" si="40"/>
        <v>2.3939099901917897</v>
      </c>
      <c r="O130" s="35">
        <f t="shared" si="41"/>
        <v>0.9163617294012133</v>
      </c>
      <c r="P130" s="36">
        <f t="shared" si="42"/>
        <v>1</v>
      </c>
      <c r="Q130" s="36">
        <f t="shared" si="43"/>
        <v>-8.3638270598786701E-2</v>
      </c>
      <c r="R130" s="37">
        <f t="shared" si="44"/>
        <v>6.995360308755868E-3</v>
      </c>
      <c r="T130" s="31">
        <f t="shared" si="45"/>
        <v>-1.2820560940632265E-2</v>
      </c>
      <c r="U130" s="31">
        <f t="shared" si="46"/>
        <v>-7.307719736160391E-2</v>
      </c>
      <c r="V130" s="31">
        <f t="shared" si="47"/>
        <v>-3.5897570633770338E-2</v>
      </c>
      <c r="W130" s="31">
        <f t="shared" si="48"/>
        <v>-5.769252423284519E-2</v>
      </c>
      <c r="X130" s="31">
        <f t="shared" si="49"/>
        <v>-1.6666729222821943E-2</v>
      </c>
    </row>
    <row r="131" spans="1:24" ht="14.25" customHeight="1" x14ac:dyDescent="0.3">
      <c r="A131" s="3"/>
      <c r="B131" s="38">
        <v>47</v>
      </c>
      <c r="C131" s="10">
        <v>6.3</v>
      </c>
      <c r="D131" s="11">
        <v>3.3</v>
      </c>
      <c r="E131" s="11">
        <v>4.7</v>
      </c>
      <c r="F131" s="11">
        <v>1.6</v>
      </c>
      <c r="G131" s="39">
        <v>1</v>
      </c>
      <c r="I131" s="38">
        <f>I130-K2*T130</f>
        <v>0.37228157966521264</v>
      </c>
      <c r="J131" s="40">
        <f>J130-K2*U130</f>
        <v>-0.39191908489080918</v>
      </c>
      <c r="K131" s="40">
        <f>K130-K2*V130</f>
        <v>3.6892113344035166E-2</v>
      </c>
      <c r="L131" s="40">
        <f>L130-K2*W130</f>
        <v>0.75440685435143029</v>
      </c>
      <c r="M131" s="40">
        <f>M130-K2*X130</f>
        <v>0.64504163194679598</v>
      </c>
      <c r="N131" s="35">
        <f t="shared" si="40"/>
        <v>2.6027141454550273</v>
      </c>
      <c r="O131" s="35">
        <f t="shared" si="41"/>
        <v>0.93103605330160422</v>
      </c>
      <c r="P131" s="36">
        <f t="shared" si="42"/>
        <v>1</v>
      </c>
      <c r="Q131" s="36">
        <f t="shared" si="43"/>
        <v>-6.8963946698395784E-2</v>
      </c>
      <c r="R131" s="37">
        <f t="shared" si="44"/>
        <v>4.7560259442191747E-3</v>
      </c>
      <c r="T131" s="31">
        <f t="shared" si="45"/>
        <v>-8.8560632490117114E-3</v>
      </c>
      <c r="U131" s="31">
        <f t="shared" si="46"/>
        <v>-5.5793198468773779E-2</v>
      </c>
      <c r="V131" s="31">
        <f t="shared" si="47"/>
        <v>-2.9225008721738645E-2</v>
      </c>
      <c r="W131" s="31">
        <f t="shared" si="48"/>
        <v>-4.1623497270355046E-2</v>
      </c>
      <c r="X131" s="31">
        <f t="shared" si="49"/>
        <v>-1.416970119841874E-2</v>
      </c>
    </row>
    <row r="132" spans="1:24" ht="14.25" customHeight="1" x14ac:dyDescent="0.3">
      <c r="A132" s="3"/>
      <c r="B132" s="38">
        <v>48</v>
      </c>
      <c r="C132" s="10">
        <v>4.9000000000000004</v>
      </c>
      <c r="D132" s="11">
        <v>2.4</v>
      </c>
      <c r="E132" s="11">
        <v>3.3</v>
      </c>
      <c r="F132" s="11">
        <v>1</v>
      </c>
      <c r="G132" s="39">
        <v>1</v>
      </c>
      <c r="I132" s="38">
        <f>I131-K2*T131</f>
        <v>0.37316718599011378</v>
      </c>
      <c r="J132" s="40">
        <f>J131-K2*U131</f>
        <v>-0.3863397650439318</v>
      </c>
      <c r="K132" s="40">
        <f>K131-K2*V131</f>
        <v>3.9814614216209028E-2</v>
      </c>
      <c r="L132" s="40">
        <f>L131-K2*W131</f>
        <v>0.75856920407846584</v>
      </c>
      <c r="M132" s="40">
        <f>M131-K2*X131</f>
        <v>0.64645860206663786</v>
      </c>
      <c r="N132" s="35">
        <f t="shared" si="40"/>
        <v>1.7253943869193245</v>
      </c>
      <c r="O132" s="35">
        <f t="shared" si="41"/>
        <v>0.8488223633499532</v>
      </c>
      <c r="P132" s="36">
        <f t="shared" si="42"/>
        <v>1</v>
      </c>
      <c r="Q132" s="36">
        <f t="shared" si="43"/>
        <v>-0.1511776366500468</v>
      </c>
      <c r="R132" s="37">
        <f t="shared" si="44"/>
        <v>2.2854677823093573E-2</v>
      </c>
      <c r="T132" s="31">
        <f t="shared" si="45"/>
        <v>-3.8799123286800102E-2</v>
      </c>
      <c r="U132" s="31">
        <f t="shared" si="46"/>
        <v>-0.19011570410532053</v>
      </c>
      <c r="V132" s="31">
        <f t="shared" si="47"/>
        <v>-9.3117895888320243E-2</v>
      </c>
      <c r="W132" s="31">
        <f t="shared" si="48"/>
        <v>-0.12803710684644032</v>
      </c>
      <c r="X132" s="31">
        <f t="shared" si="49"/>
        <v>-3.8799123286800102E-2</v>
      </c>
    </row>
    <row r="133" spans="1:24" ht="14.25" customHeight="1" x14ac:dyDescent="0.3">
      <c r="A133" s="3"/>
      <c r="B133" s="38">
        <v>49</v>
      </c>
      <c r="C133" s="10">
        <v>6.6</v>
      </c>
      <c r="D133" s="11">
        <v>2.9</v>
      </c>
      <c r="E133" s="11">
        <v>4.5999999999999996</v>
      </c>
      <c r="F133" s="11">
        <v>1.3</v>
      </c>
      <c r="G133" s="39">
        <v>1</v>
      </c>
      <c r="I133" s="38">
        <f>I132-K2*T132</f>
        <v>0.37704709831879379</v>
      </c>
      <c r="J133" s="40">
        <f>J132-K2*U132</f>
        <v>-0.36732819463339977</v>
      </c>
      <c r="K133" s="40">
        <f>K132-K2*V132</f>
        <v>4.9126403805041054E-2</v>
      </c>
      <c r="L133" s="40">
        <f>L132-K2*W132</f>
        <v>0.77137291476310987</v>
      </c>
      <c r="M133" s="40">
        <f>M132-K2*X132</f>
        <v>0.65033851439531787</v>
      </c>
      <c r="N133" s="35">
        <f t="shared" si="40"/>
        <v>2.4889030613971932</v>
      </c>
      <c r="O133" s="35">
        <f t="shared" si="41"/>
        <v>0.92336021258860046</v>
      </c>
      <c r="P133" s="36">
        <f t="shared" si="42"/>
        <v>1</v>
      </c>
      <c r="Q133" s="36">
        <f t="shared" si="43"/>
        <v>-7.663978741139954E-2</v>
      </c>
      <c r="R133" s="37">
        <f t="shared" si="44"/>
        <v>5.8736570144645155E-3</v>
      </c>
      <c r="T133" s="31">
        <f t="shared" si="45"/>
        <v>-1.0847002379096958E-2</v>
      </c>
      <c r="U133" s="31">
        <f t="shared" si="46"/>
        <v>-7.1590215702039925E-2</v>
      </c>
      <c r="V133" s="31">
        <f t="shared" si="47"/>
        <v>-3.1456306899381177E-2</v>
      </c>
      <c r="W133" s="31">
        <f t="shared" si="48"/>
        <v>-4.9896210943846005E-2</v>
      </c>
      <c r="X133" s="31">
        <f t="shared" si="49"/>
        <v>-1.4101103092826046E-2</v>
      </c>
    </row>
    <row r="134" spans="1:24" ht="14.25" customHeight="1" x14ac:dyDescent="0.3">
      <c r="A134" s="3"/>
      <c r="B134" s="38">
        <v>50</v>
      </c>
      <c r="C134" s="10">
        <v>5.2</v>
      </c>
      <c r="D134" s="11">
        <v>2.7</v>
      </c>
      <c r="E134" s="11">
        <v>3.9</v>
      </c>
      <c r="F134" s="11">
        <v>1.4</v>
      </c>
      <c r="G134" s="39">
        <v>1</v>
      </c>
      <c r="I134" s="38">
        <f>I133-K2*T133</f>
        <v>0.37813179855670348</v>
      </c>
      <c r="J134" s="40">
        <f>J133-K2*U133</f>
        <v>-0.36016917306319579</v>
      </c>
      <c r="K134" s="40">
        <f>K133-K2*V133</f>
        <v>5.2272034494979171E-2</v>
      </c>
      <c r="L134" s="40">
        <f>L133-K2*W133</f>
        <v>0.77636253585749448</v>
      </c>
      <c r="M134" s="40">
        <f>M133-K2*X133</f>
        <v>0.65174862470460049</v>
      </c>
      <c r="N134" s="35">
        <f t="shared" si="40"/>
        <v>2.5866485561951982</v>
      </c>
      <c r="O134" s="35">
        <f t="shared" si="41"/>
        <v>0.92999734466096029</v>
      </c>
      <c r="P134" s="36">
        <f t="shared" si="42"/>
        <v>1</v>
      </c>
      <c r="Q134" s="36">
        <f t="shared" si="43"/>
        <v>-7.000265533903971E-2</v>
      </c>
      <c r="R134" s="37">
        <f t="shared" si="44"/>
        <v>4.9003717545163849E-3</v>
      </c>
      <c r="T134" s="31">
        <f t="shared" si="45"/>
        <v>-9.1146654391036173E-3</v>
      </c>
      <c r="U134" s="31">
        <f t="shared" si="46"/>
        <v>-4.7396260283338813E-2</v>
      </c>
      <c r="V134" s="31">
        <f t="shared" si="47"/>
        <v>-2.4609596685579768E-2</v>
      </c>
      <c r="W134" s="31">
        <f t="shared" si="48"/>
        <v>-3.5547195212504108E-2</v>
      </c>
      <c r="X134" s="31">
        <f t="shared" si="49"/>
        <v>-1.2760531614745064E-2</v>
      </c>
    </row>
    <row r="135" spans="1:24" ht="14.25" customHeight="1" x14ac:dyDescent="0.3">
      <c r="A135" s="3"/>
      <c r="B135" s="38">
        <v>51</v>
      </c>
      <c r="C135" s="10">
        <v>5</v>
      </c>
      <c r="D135" s="11">
        <v>2</v>
      </c>
      <c r="E135" s="11">
        <v>3.5</v>
      </c>
      <c r="F135" s="11">
        <v>1</v>
      </c>
      <c r="G135" s="39">
        <v>1</v>
      </c>
      <c r="I135" s="38">
        <f>I134-K2*T134</f>
        <v>0.37904326510061387</v>
      </c>
      <c r="J135" s="40">
        <f>J134-K2*U134</f>
        <v>-0.3554295470348619</v>
      </c>
      <c r="K135" s="40">
        <f>K134-K2*V134</f>
        <v>5.4732994163537149E-2</v>
      </c>
      <c r="L135" s="40">
        <f>L134-K2*W134</f>
        <v>0.7799172553787449</v>
      </c>
      <c r="M135" s="40">
        <f>M134-K2*X134</f>
        <v>0.65302467786607499</v>
      </c>
      <c r="N135" s="35">
        <f t="shared" si="40"/>
        <v>2.0940965899450608</v>
      </c>
      <c r="O135" s="35">
        <f t="shared" si="41"/>
        <v>0.89032807312761797</v>
      </c>
      <c r="P135" s="36">
        <f t="shared" si="42"/>
        <v>1</v>
      </c>
      <c r="Q135" s="36">
        <f t="shared" si="43"/>
        <v>-0.10967192687238203</v>
      </c>
      <c r="R135" s="37">
        <f t="shared" si="44"/>
        <v>1.2027931543901112E-2</v>
      </c>
      <c r="T135" s="31">
        <f t="shared" si="45"/>
        <v>-2.1417610230384743E-2</v>
      </c>
      <c r="U135" s="31">
        <f t="shared" si="46"/>
        <v>-0.10708805115192371</v>
      </c>
      <c r="V135" s="31">
        <f t="shared" si="47"/>
        <v>-4.2835220460769485E-2</v>
      </c>
      <c r="W135" s="31">
        <f t="shared" si="48"/>
        <v>-7.4961635806346599E-2</v>
      </c>
      <c r="X135" s="31">
        <f t="shared" si="49"/>
        <v>-2.1417610230384743E-2</v>
      </c>
    </row>
    <row r="136" spans="1:24" ht="14.25" customHeight="1" x14ac:dyDescent="0.3">
      <c r="A136" s="3"/>
      <c r="B136" s="38">
        <v>52</v>
      </c>
      <c r="C136" s="10">
        <v>5.9</v>
      </c>
      <c r="D136" s="11">
        <v>3</v>
      </c>
      <c r="E136" s="11">
        <v>4.2</v>
      </c>
      <c r="F136" s="11">
        <v>1.5</v>
      </c>
      <c r="G136" s="39">
        <v>1</v>
      </c>
      <c r="I136" s="38">
        <f>I135-K2*T135</f>
        <v>0.38118502612365235</v>
      </c>
      <c r="J136" s="40">
        <f>J135-K2*U135</f>
        <v>-0.3447207419196695</v>
      </c>
      <c r="K136" s="40">
        <f>K135-K2*V135</f>
        <v>5.9016516209614095E-2</v>
      </c>
      <c r="L136" s="40">
        <f>L135-K2*W135</f>
        <v>0.78741341895937955</v>
      </c>
      <c r="M136" s="40">
        <f>M135-K2*X135</f>
        <v>0.65516643888911341</v>
      </c>
      <c r="N136" s="35">
        <f t="shared" si="40"/>
        <v>2.8142682153895087</v>
      </c>
      <c r="O136" s="35">
        <f t="shared" si="41"/>
        <v>0.9434419992525761</v>
      </c>
      <c r="P136" s="36">
        <f t="shared" si="42"/>
        <v>1</v>
      </c>
      <c r="Q136" s="36">
        <f t="shared" si="43"/>
        <v>-5.6558000747423898E-2</v>
      </c>
      <c r="R136" s="37">
        <f t="shared" si="44"/>
        <v>3.1988074485456023E-3</v>
      </c>
      <c r="T136" s="31">
        <f t="shared" si="45"/>
        <v>-6.0357785889597901E-3</v>
      </c>
      <c r="U136" s="31">
        <f t="shared" si="46"/>
        <v>-3.5611093674862766E-2</v>
      </c>
      <c r="V136" s="31">
        <f t="shared" si="47"/>
        <v>-1.8107335766879371E-2</v>
      </c>
      <c r="W136" s="31">
        <f t="shared" si="48"/>
        <v>-2.535027007363112E-2</v>
      </c>
      <c r="X136" s="31">
        <f t="shared" si="49"/>
        <v>-9.0536678834396856E-3</v>
      </c>
    </row>
    <row r="137" spans="1:24" ht="14.25" customHeight="1" x14ac:dyDescent="0.3">
      <c r="A137" s="3"/>
      <c r="B137" s="38">
        <v>53</v>
      </c>
      <c r="C137" s="10">
        <v>6</v>
      </c>
      <c r="D137" s="11">
        <v>2.2000000000000002</v>
      </c>
      <c r="E137" s="11">
        <v>4</v>
      </c>
      <c r="F137" s="11">
        <v>1</v>
      </c>
      <c r="G137" s="39">
        <v>1</v>
      </c>
      <c r="I137" s="38">
        <f>I136-K2*T136</f>
        <v>0.38178860398254832</v>
      </c>
      <c r="J137" s="40">
        <f>J136-K2*U136</f>
        <v>-0.34115963255218323</v>
      </c>
      <c r="K137" s="40">
        <f>K136-K2*V136</f>
        <v>6.082724978630203E-2</v>
      </c>
      <c r="L137" s="40">
        <f>L136-K2*W136</f>
        <v>0.78994844596674263</v>
      </c>
      <c r="M137" s="40">
        <f>M136-K2*X136</f>
        <v>0.65607180567745738</v>
      </c>
      <c r="N137" s="35">
        <f t="shared" si="40"/>
        <v>2.2845163477437413</v>
      </c>
      <c r="O137" s="35">
        <f t="shared" si="41"/>
        <v>0.90758654539338912</v>
      </c>
      <c r="P137" s="36">
        <f t="shared" si="42"/>
        <v>1</v>
      </c>
      <c r="Q137" s="36">
        <f t="shared" si="43"/>
        <v>-9.2413454606610879E-2</v>
      </c>
      <c r="R137" s="37">
        <f t="shared" si="44"/>
        <v>8.5402465923281289E-3</v>
      </c>
      <c r="T137" s="31">
        <f t="shared" si="45"/>
        <v>-1.5502025803077499E-2</v>
      </c>
      <c r="U137" s="31">
        <f t="shared" si="46"/>
        <v>-9.3012154818465004E-2</v>
      </c>
      <c r="V137" s="31">
        <f t="shared" si="47"/>
        <v>-3.41044567667705E-2</v>
      </c>
      <c r="W137" s="31">
        <f t="shared" si="48"/>
        <v>-6.2008103212309998E-2</v>
      </c>
      <c r="X137" s="31">
        <f t="shared" si="49"/>
        <v>-1.5502025803077499E-2</v>
      </c>
    </row>
    <row r="138" spans="1:24" ht="14.25" customHeight="1" x14ac:dyDescent="0.3">
      <c r="A138" s="3"/>
      <c r="B138" s="38">
        <v>54</v>
      </c>
      <c r="C138" s="10">
        <v>6.1</v>
      </c>
      <c r="D138" s="11">
        <v>2.9</v>
      </c>
      <c r="E138" s="11">
        <v>4.7</v>
      </c>
      <c r="F138" s="11">
        <v>1.4</v>
      </c>
      <c r="G138" s="39">
        <v>1</v>
      </c>
      <c r="I138" s="38">
        <f>I137-K2*T137</f>
        <v>0.38333880656285607</v>
      </c>
      <c r="J138" s="40">
        <f>J137-K2*U137</f>
        <v>-0.33185841707033675</v>
      </c>
      <c r="K138" s="40">
        <f>K137-K2*V137</f>
        <v>6.4237695462979083E-2</v>
      </c>
      <c r="L138" s="40">
        <f>L137-K2*W137</f>
        <v>0.79614925628797362</v>
      </c>
      <c r="M138" s="40">
        <f>M137-K2*X137</f>
        <v>0.65762200825776518</v>
      </c>
      <c r="N138" s="35">
        <f t="shared" si="40"/>
        <v>3.2078640953907889</v>
      </c>
      <c r="O138" s="35">
        <f t="shared" si="41"/>
        <v>0.96112914688345374</v>
      </c>
      <c r="P138" s="36">
        <f t="shared" si="42"/>
        <v>1</v>
      </c>
      <c r="Q138" s="36">
        <f t="shared" si="43"/>
        <v>-3.8870853116546256E-2</v>
      </c>
      <c r="R138" s="37">
        <f t="shared" si="44"/>
        <v>1.5109432220081138E-3</v>
      </c>
      <c r="T138" s="31">
        <f t="shared" si="45"/>
        <v>-2.9044231399159904E-3</v>
      </c>
      <c r="U138" s="31">
        <f t="shared" si="46"/>
        <v>-1.7716981153487542E-2</v>
      </c>
      <c r="V138" s="31">
        <f t="shared" si="47"/>
        <v>-8.4228271057563715E-3</v>
      </c>
      <c r="W138" s="31">
        <f t="shared" si="48"/>
        <v>-1.3650788757605156E-2</v>
      </c>
      <c r="X138" s="31">
        <f t="shared" si="49"/>
        <v>-4.0661923958823865E-3</v>
      </c>
    </row>
    <row r="139" spans="1:24" ht="14.25" customHeight="1" x14ac:dyDescent="0.3">
      <c r="A139" s="3"/>
      <c r="B139" s="38">
        <v>55</v>
      </c>
      <c r="C139" s="10">
        <v>5.6</v>
      </c>
      <c r="D139" s="11">
        <v>2.9</v>
      </c>
      <c r="E139" s="11">
        <v>3.6</v>
      </c>
      <c r="F139" s="11">
        <v>1.3</v>
      </c>
      <c r="G139" s="39">
        <v>1</v>
      </c>
      <c r="I139" s="38">
        <f>I138-K2*T138</f>
        <v>0.38362924887684768</v>
      </c>
      <c r="J139" s="40">
        <f>J138-K2*U138</f>
        <v>-0.33008671895498798</v>
      </c>
      <c r="K139" s="40">
        <f>K138-K2*V138</f>
        <v>6.5079978173554723E-2</v>
      </c>
      <c r="L139" s="40">
        <f>L138-K2*W138</f>
        <v>0.79751433516373416</v>
      </c>
      <c r="M139" s="40">
        <f>M138-K2*X138</f>
        <v>0.65802862749735347</v>
      </c>
      <c r="N139" s="35">
        <f t="shared" si="40"/>
        <v>2.4503643817682264</v>
      </c>
      <c r="O139" s="35">
        <f t="shared" si="41"/>
        <v>0.92058809326693436</v>
      </c>
      <c r="P139" s="36">
        <f t="shared" si="42"/>
        <v>1</v>
      </c>
      <c r="Q139" s="36">
        <f t="shared" si="43"/>
        <v>-7.941190673306564E-2</v>
      </c>
      <c r="R139" s="37">
        <f t="shared" si="44"/>
        <v>6.3062509309811162E-3</v>
      </c>
      <c r="T139" s="31">
        <f t="shared" si="45"/>
        <v>-1.1610919040429471E-2</v>
      </c>
      <c r="U139" s="31">
        <f t="shared" si="46"/>
        <v>-6.5021146626405041E-2</v>
      </c>
      <c r="V139" s="31">
        <f t="shared" si="47"/>
        <v>-3.3671665217245468E-2</v>
      </c>
      <c r="W139" s="31">
        <f t="shared" si="48"/>
        <v>-4.1799308545546095E-2</v>
      </c>
      <c r="X139" s="31">
        <f t="shared" si="49"/>
        <v>-1.5094194752558313E-2</v>
      </c>
    </row>
    <row r="140" spans="1:24" ht="14.25" customHeight="1" x14ac:dyDescent="0.3">
      <c r="A140" s="3"/>
      <c r="B140" s="38">
        <v>56</v>
      </c>
      <c r="C140" s="10">
        <v>6.7</v>
      </c>
      <c r="D140" s="11">
        <v>3.1</v>
      </c>
      <c r="E140" s="11">
        <v>4.4000000000000004</v>
      </c>
      <c r="F140" s="11">
        <v>1.4</v>
      </c>
      <c r="G140" s="39">
        <v>1</v>
      </c>
      <c r="I140" s="38">
        <f>I139-K2*T139</f>
        <v>0.38479034078089064</v>
      </c>
      <c r="J140" s="40">
        <f>J139-K2*U139</f>
        <v>-0.32358460429234748</v>
      </c>
      <c r="K140" s="40">
        <f>K139-K2*V139</f>
        <v>6.8447144695279266E-2</v>
      </c>
      <c r="L140" s="40">
        <f>L139-K2*W139</f>
        <v>0.80169426601828875</v>
      </c>
      <c r="M140" s="40">
        <f>M139-K2*X139</f>
        <v>0.65953804697260932</v>
      </c>
      <c r="N140" s="35">
        <f t="shared" si="40"/>
        <v>2.8797676768196516</v>
      </c>
      <c r="O140" s="35">
        <f t="shared" si="41"/>
        <v>0.94683717047008265</v>
      </c>
      <c r="P140" s="36">
        <f t="shared" si="42"/>
        <v>1</v>
      </c>
      <c r="Q140" s="36">
        <f t="shared" si="43"/>
        <v>-5.3162829529917355E-2</v>
      </c>
      <c r="R140" s="37">
        <f t="shared" si="44"/>
        <v>2.8262864436270525E-3</v>
      </c>
      <c r="T140" s="31">
        <f t="shared" si="45"/>
        <v>-5.3520661184435821E-3</v>
      </c>
      <c r="U140" s="31">
        <f t="shared" si="46"/>
        <v>-3.5858842993572004E-2</v>
      </c>
      <c r="V140" s="31">
        <f t="shared" si="47"/>
        <v>-1.6591404967175104E-2</v>
      </c>
      <c r="W140" s="31">
        <f t="shared" si="48"/>
        <v>-2.3549090921151764E-2</v>
      </c>
      <c r="X140" s="31">
        <f t="shared" si="49"/>
        <v>-7.4928925658210143E-3</v>
      </c>
    </row>
    <row r="141" spans="1:24" ht="14.25" customHeight="1" x14ac:dyDescent="0.3">
      <c r="A141" s="3"/>
      <c r="B141" s="38">
        <v>57</v>
      </c>
      <c r="C141" s="10">
        <v>5.6</v>
      </c>
      <c r="D141" s="11">
        <v>3</v>
      </c>
      <c r="E141" s="11">
        <v>4.5</v>
      </c>
      <c r="F141" s="11">
        <v>1.5</v>
      </c>
      <c r="G141" s="39">
        <v>1</v>
      </c>
      <c r="I141" s="38">
        <f>I140-K2*T140</f>
        <v>0.385325547392735</v>
      </c>
      <c r="J141" s="40">
        <f>J140-K2*U140</f>
        <v>-0.31999871999299029</v>
      </c>
      <c r="K141" s="40">
        <f>K140-K2*V140</f>
        <v>7.010628519199677E-2</v>
      </c>
      <c r="L141" s="40">
        <f>L140-K2*W140</f>
        <v>0.80404917511040397</v>
      </c>
      <c r="M141" s="40">
        <f>M140-K2*X140</f>
        <v>0.66028733622919145</v>
      </c>
      <c r="N141" s="35">
        <f t="shared" si="40"/>
        <v>3.4123038633485847</v>
      </c>
      <c r="O141" s="35">
        <f t="shared" si="41"/>
        <v>0.96808685647481119</v>
      </c>
      <c r="P141" s="36">
        <f t="shared" si="42"/>
        <v>1</v>
      </c>
      <c r="Q141" s="36">
        <f t="shared" si="43"/>
        <v>-3.1913143525188814E-2</v>
      </c>
      <c r="R141" s="37">
        <f t="shared" si="44"/>
        <v>1.0184487296593008E-3</v>
      </c>
      <c r="T141" s="31">
        <f t="shared" si="45"/>
        <v>-1.9718936583532744E-3</v>
      </c>
      <c r="U141" s="31">
        <f t="shared" si="46"/>
        <v>-1.1042604486778336E-2</v>
      </c>
      <c r="V141" s="31">
        <f t="shared" si="47"/>
        <v>-5.9156809750598232E-3</v>
      </c>
      <c r="W141" s="31">
        <f t="shared" si="48"/>
        <v>-8.8735214625897344E-3</v>
      </c>
      <c r="X141" s="31">
        <f t="shared" si="49"/>
        <v>-2.9578404875299116E-3</v>
      </c>
    </row>
    <row r="142" spans="1:24" ht="14.25" customHeight="1" x14ac:dyDescent="0.3">
      <c r="A142" s="3"/>
      <c r="B142" s="38">
        <v>58</v>
      </c>
      <c r="C142" s="10">
        <v>5.8</v>
      </c>
      <c r="D142" s="11">
        <v>2.7</v>
      </c>
      <c r="E142" s="11">
        <v>4.0999999999999996</v>
      </c>
      <c r="F142" s="11">
        <v>1</v>
      </c>
      <c r="G142" s="39">
        <v>1</v>
      </c>
      <c r="I142" s="38">
        <f>I141-K2*T141</f>
        <v>0.38552273675857035</v>
      </c>
      <c r="J142" s="40">
        <f>J141-K2*U141</f>
        <v>-0.31889445954431245</v>
      </c>
      <c r="K142" s="40">
        <f>K141-K2*V141</f>
        <v>7.0697853289502746E-2</v>
      </c>
      <c r="L142" s="40">
        <f>L141-K2*W141</f>
        <v>0.80493652725666298</v>
      </c>
      <c r="M142" s="40">
        <f>M141-K2*X141</f>
        <v>0.66058312027794441</v>
      </c>
      <c r="N142" s="35">
        <f t="shared" si="40"/>
        <v>2.687641957313478</v>
      </c>
      <c r="O142" s="35">
        <f t="shared" si="41"/>
        <v>0.93629347374299754</v>
      </c>
      <c r="P142" s="36">
        <f t="shared" si="42"/>
        <v>1</v>
      </c>
      <c r="Q142" s="36">
        <f t="shared" si="43"/>
        <v>-6.370652625700246E-2</v>
      </c>
      <c r="R142" s="37">
        <f t="shared" si="44"/>
        <v>4.0585214877341437E-3</v>
      </c>
      <c r="T142" s="31">
        <f t="shared" si="45"/>
        <v>-7.5999343640223999E-3</v>
      </c>
      <c r="U142" s="31">
        <f t="shared" si="46"/>
        <v>-4.4079619311329921E-2</v>
      </c>
      <c r="V142" s="31">
        <f t="shared" si="47"/>
        <v>-2.0519822782860481E-2</v>
      </c>
      <c r="W142" s="31">
        <f t="shared" si="48"/>
        <v>-3.1159730892491837E-2</v>
      </c>
      <c r="X142" s="31">
        <f t="shared" si="49"/>
        <v>-7.5999343640223999E-3</v>
      </c>
    </row>
    <row r="143" spans="1:24" ht="14.25" customHeight="1" x14ac:dyDescent="0.3">
      <c r="A143" s="3"/>
      <c r="B143" s="38">
        <v>59</v>
      </c>
      <c r="C143" s="10">
        <v>6.2</v>
      </c>
      <c r="D143" s="11">
        <v>2.2000000000000002</v>
      </c>
      <c r="E143" s="11">
        <v>4.5</v>
      </c>
      <c r="F143" s="11">
        <v>1.5</v>
      </c>
      <c r="G143" s="39">
        <v>1</v>
      </c>
      <c r="I143" s="38">
        <f>I142-K2*T142</f>
        <v>0.38628273019497261</v>
      </c>
      <c r="J143" s="40">
        <f>J142-K2*U142</f>
        <v>-0.31448649761317948</v>
      </c>
      <c r="K143" s="40">
        <f>K142-K2*V142</f>
        <v>7.2749835567788801E-2</v>
      </c>
      <c r="L143" s="40">
        <f>L142-K2*W142</f>
        <v>0.80805250034591214</v>
      </c>
      <c r="M143" s="40">
        <f>M142-K2*X142</f>
        <v>0.66134311371434662</v>
      </c>
      <c r="N143" s="35">
        <f t="shared" si="40"/>
        <v>3.2247670053705195</v>
      </c>
      <c r="O143" s="35">
        <f t="shared" si="41"/>
        <v>0.96175573923203939</v>
      </c>
      <c r="P143" s="36">
        <f t="shared" si="42"/>
        <v>1</v>
      </c>
      <c r="Q143" s="36">
        <f t="shared" si="43"/>
        <v>-3.8244260767960614E-2</v>
      </c>
      <c r="R143" s="37">
        <f t="shared" si="44"/>
        <v>1.4626234816877714E-3</v>
      </c>
      <c r="T143" s="31">
        <f t="shared" si="45"/>
        <v>-2.8133730556975235E-3</v>
      </c>
      <c r="U143" s="31">
        <f t="shared" si="46"/>
        <v>-1.7442912945324646E-2</v>
      </c>
      <c r="V143" s="31">
        <f t="shared" si="47"/>
        <v>-6.1894207225345523E-3</v>
      </c>
      <c r="W143" s="31">
        <f t="shared" si="48"/>
        <v>-1.2660178750638856E-2</v>
      </c>
      <c r="X143" s="31">
        <f t="shared" si="49"/>
        <v>-4.220059583546285E-3</v>
      </c>
    </row>
    <row r="144" spans="1:24" ht="14.25" customHeight="1" x14ac:dyDescent="0.3">
      <c r="A144" s="3"/>
      <c r="B144" s="38">
        <v>60</v>
      </c>
      <c r="C144" s="10">
        <v>5.6</v>
      </c>
      <c r="D144" s="11">
        <v>2.5</v>
      </c>
      <c r="E144" s="11">
        <v>3.9</v>
      </c>
      <c r="F144" s="11">
        <v>1.1000000000000001</v>
      </c>
      <c r="G144" s="39">
        <v>1</v>
      </c>
      <c r="I144" s="38">
        <f>I143-K2*T143</f>
        <v>0.38656406750054234</v>
      </c>
      <c r="J144" s="40">
        <f>J143-K2*U143</f>
        <v>-0.31274220631864702</v>
      </c>
      <c r="K144" s="40">
        <f>K143-K2*V143</f>
        <v>7.3368777640042251E-2</v>
      </c>
      <c r="L144" s="40">
        <f>L143-K2*W143</f>
        <v>0.809318518220976</v>
      </c>
      <c r="M144" s="40">
        <f>M143-K2*X143</f>
        <v>0.66176511967270124</v>
      </c>
      <c r="N144" s="35">
        <f t="shared" si="40"/>
        <v>2.7029135089180025</v>
      </c>
      <c r="O144" s="35">
        <f t="shared" si="41"/>
        <v>0.9371983446947898</v>
      </c>
      <c r="P144" s="36">
        <f t="shared" si="42"/>
        <v>1</v>
      </c>
      <c r="Q144" s="36">
        <f t="shared" si="43"/>
        <v>-6.2801655305210202E-2</v>
      </c>
      <c r="R144" s="37">
        <f t="shared" si="44"/>
        <v>3.9440479090744364E-3</v>
      </c>
      <c r="T144" s="31">
        <f t="shared" si="45"/>
        <v>-7.3927103435630168E-3</v>
      </c>
      <c r="U144" s="31">
        <f t="shared" si="46"/>
        <v>-4.1399177923952889E-2</v>
      </c>
      <c r="V144" s="31">
        <f t="shared" si="47"/>
        <v>-1.8481775858907541E-2</v>
      </c>
      <c r="W144" s="31">
        <f t="shared" si="48"/>
        <v>-2.8831570339895765E-2</v>
      </c>
      <c r="X144" s="31">
        <f t="shared" si="49"/>
        <v>-8.131981377919319E-3</v>
      </c>
    </row>
    <row r="145" spans="1:24" ht="14.25" customHeight="1" x14ac:dyDescent="0.3">
      <c r="A145" s="3"/>
      <c r="B145" s="38">
        <v>61</v>
      </c>
      <c r="C145" s="10">
        <v>5.9</v>
      </c>
      <c r="D145" s="11">
        <v>3.2</v>
      </c>
      <c r="E145" s="11">
        <v>4.8</v>
      </c>
      <c r="F145" s="11">
        <v>1.8</v>
      </c>
      <c r="G145" s="39">
        <v>1</v>
      </c>
      <c r="I145" s="38">
        <f>I144-K2*T144</f>
        <v>0.38730333853489862</v>
      </c>
      <c r="J145" s="40">
        <f>J144-K2*U144</f>
        <v>-0.30860228852625171</v>
      </c>
      <c r="K145" s="40">
        <f>K144-K2*V144</f>
        <v>7.521695522593301E-2</v>
      </c>
      <c r="L145" s="40">
        <f>L144-K2*W144</f>
        <v>0.81220167525496556</v>
      </c>
      <c r="M145" s="40">
        <f>M144-K2*X144</f>
        <v>0.66257831781049314</v>
      </c>
      <c r="N145" s="35">
        <f t="shared" si="40"/>
        <v>3.8984531062357215</v>
      </c>
      <c r="O145" s="35">
        <f t="shared" si="41"/>
        <v>0.98012958998231803</v>
      </c>
      <c r="P145" s="36">
        <f t="shared" si="42"/>
        <v>1</v>
      </c>
      <c r="Q145" s="36">
        <f t="shared" si="43"/>
        <v>-1.9870410017681972E-2</v>
      </c>
      <c r="R145" s="37">
        <f t="shared" si="44"/>
        <v>3.9483319427079604E-4</v>
      </c>
      <c r="T145" s="31">
        <f t="shared" si="45"/>
        <v>-7.739753936240885E-4</v>
      </c>
      <c r="U145" s="31">
        <f t="shared" si="46"/>
        <v>-4.5664548223821226E-3</v>
      </c>
      <c r="V145" s="31">
        <f t="shared" si="47"/>
        <v>-2.4767212595970833E-3</v>
      </c>
      <c r="W145" s="31">
        <f t="shared" si="48"/>
        <v>-3.7150818893956247E-3</v>
      </c>
      <c r="X145" s="31">
        <f t="shared" si="49"/>
        <v>-1.3931557085233594E-3</v>
      </c>
    </row>
    <row r="146" spans="1:24" ht="14.25" customHeight="1" x14ac:dyDescent="0.3">
      <c r="A146" s="3"/>
      <c r="B146" s="38">
        <v>62</v>
      </c>
      <c r="C146" s="10">
        <v>6.1</v>
      </c>
      <c r="D146" s="11">
        <v>2.8</v>
      </c>
      <c r="E146" s="11">
        <v>4</v>
      </c>
      <c r="F146" s="11">
        <v>1.3</v>
      </c>
      <c r="G146" s="39">
        <v>1</v>
      </c>
      <c r="I146" s="38">
        <f>I145-K2*T145</f>
        <v>0.38738073607426105</v>
      </c>
      <c r="J146" s="40">
        <f>J145-K2*U145</f>
        <v>-0.30814564304401348</v>
      </c>
      <c r="K146" s="40">
        <f>K145-K2*V145</f>
        <v>7.5464627351892716E-2</v>
      </c>
      <c r="L146" s="40">
        <f>L145-K2*W145</f>
        <v>0.81257318344390517</v>
      </c>
      <c r="M146" s="40">
        <f>M145-K2*X145</f>
        <v>0.66271763338134548</v>
      </c>
      <c r="N146" s="35">
        <f t="shared" si="40"/>
        <v>2.830818927262448</v>
      </c>
      <c r="O146" s="35">
        <f t="shared" si="41"/>
        <v>0.94431867768548328</v>
      </c>
      <c r="P146" s="36">
        <f t="shared" si="42"/>
        <v>1</v>
      </c>
      <c r="Q146" s="36">
        <f t="shared" si="43"/>
        <v>-5.5681322314516724E-2</v>
      </c>
      <c r="R146" s="37">
        <f t="shared" si="44"/>
        <v>3.1004096546930981E-3</v>
      </c>
      <c r="T146" s="31">
        <f t="shared" si="45"/>
        <v>-5.8555494908061846E-3</v>
      </c>
      <c r="U146" s="31">
        <f t="shared" si="46"/>
        <v>-3.571885189391772E-2</v>
      </c>
      <c r="V146" s="31">
        <f t="shared" si="47"/>
        <v>-1.6395538574257316E-2</v>
      </c>
      <c r="W146" s="31">
        <f t="shared" si="48"/>
        <v>-2.3422197963224738E-2</v>
      </c>
      <c r="X146" s="31">
        <f t="shared" si="49"/>
        <v>-7.61221433804804E-3</v>
      </c>
    </row>
    <row r="147" spans="1:24" ht="14.25" customHeight="1" x14ac:dyDescent="0.3">
      <c r="A147" s="3"/>
      <c r="B147" s="38">
        <v>63</v>
      </c>
      <c r="C147" s="10">
        <v>6.3</v>
      </c>
      <c r="D147" s="11">
        <v>2.5</v>
      </c>
      <c r="E147" s="11">
        <v>4.9000000000000004</v>
      </c>
      <c r="F147" s="11">
        <v>1.5</v>
      </c>
      <c r="G147" s="39">
        <v>1</v>
      </c>
      <c r="I147" s="38">
        <f>I146-K2*T146</f>
        <v>0.38796629102334168</v>
      </c>
      <c r="J147" s="40">
        <f>J146-K2*U146</f>
        <v>-0.30457375785462171</v>
      </c>
      <c r="K147" s="40">
        <f>K146-K2*V146</f>
        <v>7.7104181209318445E-2</v>
      </c>
      <c r="L147" s="40">
        <f>L146-K2*W146</f>
        <v>0.8149154032402276</v>
      </c>
      <c r="M147" s="40">
        <f>M146-K2*X146</f>
        <v>0.66347885481515023</v>
      </c>
      <c r="N147" s="35">
        <f t="shared" si="40"/>
        <v>3.650215827662362</v>
      </c>
      <c r="O147" s="35">
        <f t="shared" si="41"/>
        <v>0.97467262521883946</v>
      </c>
      <c r="P147" s="36">
        <f t="shared" si="42"/>
        <v>1</v>
      </c>
      <c r="Q147" s="36">
        <f t="shared" si="43"/>
        <v>-2.5327374781160539E-2</v>
      </c>
      <c r="R147" s="37">
        <f t="shared" si="44"/>
        <v>6.4147591330536685E-4</v>
      </c>
      <c r="T147" s="31">
        <f t="shared" si="45"/>
        <v>-1.2504580248719891E-3</v>
      </c>
      <c r="U147" s="31">
        <f t="shared" si="46"/>
        <v>-7.877885556693531E-3</v>
      </c>
      <c r="V147" s="31">
        <f t="shared" si="47"/>
        <v>-3.1261450621799729E-3</v>
      </c>
      <c r="W147" s="31">
        <f t="shared" si="48"/>
        <v>-6.1272443218727468E-3</v>
      </c>
      <c r="X147" s="31">
        <f t="shared" si="49"/>
        <v>-1.8756870373079835E-3</v>
      </c>
    </row>
    <row r="148" spans="1:24" ht="14.25" customHeight="1" x14ac:dyDescent="0.3">
      <c r="A148" s="3"/>
      <c r="B148" s="38">
        <v>64</v>
      </c>
      <c r="C148" s="10">
        <v>6.1</v>
      </c>
      <c r="D148" s="11">
        <v>2.8</v>
      </c>
      <c r="E148" s="11">
        <v>4.7</v>
      </c>
      <c r="F148" s="11">
        <v>1.2</v>
      </c>
      <c r="G148" s="39">
        <v>1</v>
      </c>
      <c r="I148" s="38">
        <f>I147-K2*T147</f>
        <v>0.38809133682582886</v>
      </c>
      <c r="J148" s="40">
        <f>J147-K2*U147</f>
        <v>-0.30378596929895235</v>
      </c>
      <c r="K148" s="40">
        <f>K147-K2*V147</f>
        <v>7.7416795715536446E-2</v>
      </c>
      <c r="L148" s="40">
        <f>L147-K2*W147</f>
        <v>0.81552812767241489</v>
      </c>
      <c r="M148" s="40">
        <f>M147-K2*X147</f>
        <v>0.66366642351888105</v>
      </c>
      <c r="N148" s="35">
        <f t="shared" si="40"/>
        <v>3.3811458603887292</v>
      </c>
      <c r="O148" s="35">
        <f t="shared" si="41"/>
        <v>0.96711007245045677</v>
      </c>
      <c r="P148" s="36">
        <f t="shared" si="42"/>
        <v>1</v>
      </c>
      <c r="Q148" s="36">
        <f t="shared" si="43"/>
        <v>-3.288992754954323E-2</v>
      </c>
      <c r="R148" s="37">
        <f t="shared" si="44"/>
        <v>1.0817473342142026E-3</v>
      </c>
      <c r="T148" s="31">
        <f t="shared" si="45"/>
        <v>-2.0923374855299718E-3</v>
      </c>
      <c r="U148" s="31">
        <f t="shared" si="46"/>
        <v>-1.2763258661732828E-2</v>
      </c>
      <c r="V148" s="31">
        <f t="shared" si="47"/>
        <v>-5.8585449594839205E-3</v>
      </c>
      <c r="W148" s="31">
        <f t="shared" si="48"/>
        <v>-9.833986181990868E-3</v>
      </c>
      <c r="X148" s="31">
        <f t="shared" si="49"/>
        <v>-2.5108049826359662E-3</v>
      </c>
    </row>
    <row r="149" spans="1:24" ht="14.25" customHeight="1" x14ac:dyDescent="0.3">
      <c r="A149" s="3"/>
      <c r="B149" s="38">
        <v>65</v>
      </c>
      <c r="C149" s="10">
        <v>6.4</v>
      </c>
      <c r="D149" s="11">
        <v>2.9</v>
      </c>
      <c r="E149" s="11">
        <v>4.3</v>
      </c>
      <c r="F149" s="11">
        <v>1.3</v>
      </c>
      <c r="G149" s="39">
        <v>1</v>
      </c>
      <c r="I149" s="38">
        <f>I148-K2*T148</f>
        <v>0.38830057057438183</v>
      </c>
      <c r="J149" s="40">
        <f>J148-K2*U148</f>
        <v>-0.30250964343277909</v>
      </c>
      <c r="K149" s="40">
        <f>K148-K2*V148</f>
        <v>7.8002650211484836E-2</v>
      </c>
      <c r="L149" s="40">
        <f>L148-K2*W148</f>
        <v>0.81651152629061396</v>
      </c>
      <c r="M149" s="40">
        <f>M148-K2*X148</f>
        <v>0.66391750401714467</v>
      </c>
      <c r="N149" s="35">
        <f t="shared" ref="N149:N164" si="50">I149+J149*C149+K149*D149+L149*E149+F149*M149</f>
        <v>3.0525388564898295</v>
      </c>
      <c r="O149" s="35">
        <f t="shared" ref="O149:O164" si="51">1/(1+EXP(-N149))</f>
        <v>0.9548920097250565</v>
      </c>
      <c r="P149" s="36">
        <f t="shared" ref="P149:P164" si="52">IF(O149&gt;0.5,1,0)</f>
        <v>1</v>
      </c>
      <c r="Q149" s="36">
        <f t="shared" ref="Q149:Q164" si="53">O149-G149</f>
        <v>-4.5107990274943499E-2</v>
      </c>
      <c r="R149" s="37">
        <f t="shared" ref="R149:R164" si="54">Q149^2</f>
        <v>2.0347307866443974E-3</v>
      </c>
      <c r="T149" s="31">
        <f t="shared" ref="T149:T164" si="55">2*(O149-G149)*(1-O149)*O149</f>
        <v>-3.8858963402166277E-3</v>
      </c>
      <c r="U149" s="31">
        <f t="shared" ref="U149:U164" si="56">2*(O149-G149)*(1-O149)*O149*C149</f>
        <v>-2.486973657738642E-2</v>
      </c>
      <c r="V149" s="31">
        <f t="shared" ref="V149:V164" si="57">2*(O149-G149)*(1-O149)*O149*D149</f>
        <v>-1.126909938662822E-2</v>
      </c>
      <c r="W149" s="31">
        <f t="shared" ref="W149:W164" si="58">2*(O149-G149)*(1-O149)*O149*E149</f>
        <v>-1.6709354262931499E-2</v>
      </c>
      <c r="X149" s="31">
        <f t="shared" ref="X149:X164" si="59">2*(O149-G149)*(1-O149)*O149*F149</f>
        <v>-5.0516652422816161E-3</v>
      </c>
    </row>
    <row r="150" spans="1:24" ht="14.25" customHeight="1" x14ac:dyDescent="0.3">
      <c r="A150" s="3"/>
      <c r="B150" s="38">
        <v>66</v>
      </c>
      <c r="C150" s="10">
        <v>6.6</v>
      </c>
      <c r="D150" s="11">
        <v>3</v>
      </c>
      <c r="E150" s="11">
        <v>4.4000000000000004</v>
      </c>
      <c r="F150" s="11">
        <v>1.4</v>
      </c>
      <c r="G150" s="39">
        <v>1</v>
      </c>
      <c r="I150" s="38">
        <f>I149-K2*T149</f>
        <v>0.38868916020840349</v>
      </c>
      <c r="J150" s="40">
        <f>J149-K2*U149</f>
        <v>-0.30002266977504044</v>
      </c>
      <c r="K150" s="40">
        <f>K149-K2*V149</f>
        <v>7.912956015014766E-2</v>
      </c>
      <c r="L150" s="40">
        <f>L149-K2*W149</f>
        <v>0.81818246171690712</v>
      </c>
      <c r="M150" s="40">
        <f>M149-K2*X149</f>
        <v>0.66442267054137283</v>
      </c>
      <c r="N150" s="35">
        <f t="shared" si="50"/>
        <v>3.1761227904558931</v>
      </c>
      <c r="O150" s="35">
        <f t="shared" si="51"/>
        <v>0.95992578216511182</v>
      </c>
      <c r="P150" s="36">
        <f t="shared" si="52"/>
        <v>1</v>
      </c>
      <c r="Q150" s="36">
        <f t="shared" si="53"/>
        <v>-4.0074217834888182E-2</v>
      </c>
      <c r="R150" s="37">
        <f t="shared" si="54"/>
        <v>1.6059429350780701E-3</v>
      </c>
      <c r="T150" s="31">
        <f t="shared" si="55"/>
        <v>-3.0831720561347036E-3</v>
      </c>
      <c r="U150" s="31">
        <f t="shared" si="56"/>
        <v>-2.0348935570489043E-2</v>
      </c>
      <c r="V150" s="31">
        <f t="shared" si="57"/>
        <v>-9.2495161684041111E-3</v>
      </c>
      <c r="W150" s="31">
        <f t="shared" si="58"/>
        <v>-1.3565957046992696E-2</v>
      </c>
      <c r="X150" s="31">
        <f t="shared" si="59"/>
        <v>-4.3164408785885851E-3</v>
      </c>
    </row>
    <row r="151" spans="1:24" ht="14.25" customHeight="1" x14ac:dyDescent="0.3">
      <c r="A151" s="3"/>
      <c r="B151" s="38">
        <v>67</v>
      </c>
      <c r="C151" s="10">
        <v>6.8</v>
      </c>
      <c r="D151" s="11">
        <v>2.8</v>
      </c>
      <c r="E151" s="11">
        <v>4.8</v>
      </c>
      <c r="F151" s="11">
        <v>1.4</v>
      </c>
      <c r="G151" s="39">
        <v>1</v>
      </c>
      <c r="I151" s="38">
        <f>I150-K2*T150</f>
        <v>0.38899747741401697</v>
      </c>
      <c r="J151" s="40">
        <f>J150-K2*U150</f>
        <v>-0.29798777621799155</v>
      </c>
      <c r="K151" s="40">
        <f>K150-K2*V150</f>
        <v>8.0054511766988065E-2</v>
      </c>
      <c r="L151" s="40">
        <f>L150-K2*W150</f>
        <v>0.81953905742160638</v>
      </c>
      <c r="M151" s="40">
        <f>M150-K2*X150</f>
        <v>0.66485431462923172</v>
      </c>
      <c r="N151" s="35">
        <f t="shared" si="50"/>
        <v>3.4514167481838758</v>
      </c>
      <c r="O151" s="35">
        <f t="shared" si="51"/>
        <v>0.96927336302503408</v>
      </c>
      <c r="P151" s="36">
        <f t="shared" si="52"/>
        <v>1</v>
      </c>
      <c r="Q151" s="36">
        <f t="shared" si="53"/>
        <v>-3.0726636974965915E-2</v>
      </c>
      <c r="R151" s="37">
        <f t="shared" si="54"/>
        <v>9.4412621979134256E-4</v>
      </c>
      <c r="T151" s="31">
        <f t="shared" si="55"/>
        <v>-1.8302327923545342E-3</v>
      </c>
      <c r="U151" s="31">
        <f t="shared" si="56"/>
        <v>-1.2445582988010833E-2</v>
      </c>
      <c r="V151" s="31">
        <f t="shared" si="57"/>
        <v>-5.1246518185926954E-3</v>
      </c>
      <c r="W151" s="31">
        <f t="shared" si="58"/>
        <v>-8.7851174033017638E-3</v>
      </c>
      <c r="X151" s="31">
        <f t="shared" si="59"/>
        <v>-2.5623259092963477E-3</v>
      </c>
    </row>
    <row r="152" spans="1:24" ht="14.25" customHeight="1" x14ac:dyDescent="0.3">
      <c r="A152" s="3"/>
      <c r="B152" s="38">
        <v>68</v>
      </c>
      <c r="C152" s="10">
        <v>6.7</v>
      </c>
      <c r="D152" s="11">
        <v>3</v>
      </c>
      <c r="E152" s="11">
        <v>5</v>
      </c>
      <c r="F152" s="11">
        <v>1.7</v>
      </c>
      <c r="G152" s="39">
        <v>1</v>
      </c>
      <c r="I152" s="38">
        <f>I151-K2*T151</f>
        <v>0.38918050069325244</v>
      </c>
      <c r="J152" s="40">
        <f>J151-K2*U151</f>
        <v>-0.29674321791919045</v>
      </c>
      <c r="K152" s="40">
        <f>K151-K2*V151</f>
        <v>8.0566976948847333E-2</v>
      </c>
      <c r="L152" s="40">
        <f>L151-K2*W151</f>
        <v>0.82041756916193653</v>
      </c>
      <c r="M152" s="40">
        <f>M151-K2*X151</f>
        <v>0.66511054722016139</v>
      </c>
      <c r="N152" s="35">
        <f t="shared" si="50"/>
        <v>3.8754776475651758</v>
      </c>
      <c r="O152" s="35">
        <f t="shared" si="51"/>
        <v>0.97967715871520444</v>
      </c>
      <c r="P152" s="36">
        <f t="shared" si="52"/>
        <v>1</v>
      </c>
      <c r="Q152" s="36">
        <f t="shared" si="53"/>
        <v>-2.0322841284795556E-2</v>
      </c>
      <c r="R152" s="37">
        <f t="shared" si="54"/>
        <v>4.130178778869907E-4</v>
      </c>
      <c r="T152" s="31">
        <f t="shared" si="55"/>
        <v>-8.0924836221382061E-4</v>
      </c>
      <c r="U152" s="31">
        <f t="shared" si="56"/>
        <v>-5.4219640268325982E-3</v>
      </c>
      <c r="V152" s="31">
        <f t="shared" si="57"/>
        <v>-2.4277450866414616E-3</v>
      </c>
      <c r="W152" s="31">
        <f t="shared" si="58"/>
        <v>-4.0462418110691033E-3</v>
      </c>
      <c r="X152" s="31">
        <f t="shared" si="59"/>
        <v>-1.375722215763495E-3</v>
      </c>
    </row>
    <row r="153" spans="1:24" ht="14.25" customHeight="1" x14ac:dyDescent="0.3">
      <c r="A153" s="3"/>
      <c r="B153" s="38">
        <v>69</v>
      </c>
      <c r="C153" s="10">
        <v>6</v>
      </c>
      <c r="D153" s="11">
        <v>2.9</v>
      </c>
      <c r="E153" s="11">
        <v>4.5</v>
      </c>
      <c r="F153" s="11">
        <v>1.5</v>
      </c>
      <c r="G153" s="39">
        <v>1</v>
      </c>
      <c r="I153" s="38">
        <f>I152-K2*T152</f>
        <v>0.38926142552947385</v>
      </c>
      <c r="J153" s="40">
        <f>J152-K2*U152</f>
        <v>-0.29620102151650718</v>
      </c>
      <c r="K153" s="40">
        <f>K152-K2*V152</f>
        <v>8.0809751457511472E-2</v>
      </c>
      <c r="L153" s="40">
        <f>L152-K2*W152</f>
        <v>0.8208221933430434</v>
      </c>
      <c r="M153" s="40">
        <f>M152-K2*X152</f>
        <v>0.66524811944173778</v>
      </c>
      <c r="N153" s="35">
        <f t="shared" si="50"/>
        <v>3.5379756248635159</v>
      </c>
      <c r="O153" s="35">
        <f t="shared" si="51"/>
        <v>0.97174919050587172</v>
      </c>
      <c r="P153" s="36">
        <f t="shared" si="52"/>
        <v>1</v>
      </c>
      <c r="Q153" s="36">
        <f t="shared" si="53"/>
        <v>-2.8250809494128282E-2</v>
      </c>
      <c r="R153" s="37">
        <f t="shared" si="54"/>
        <v>7.9810823707352862E-4</v>
      </c>
      <c r="T153" s="31">
        <f t="shared" si="55"/>
        <v>-1.5511220666245397E-3</v>
      </c>
      <c r="U153" s="31">
        <f t="shared" si="56"/>
        <v>-9.3067323997472386E-3</v>
      </c>
      <c r="V153" s="31">
        <f t="shared" si="57"/>
        <v>-4.498253993211165E-3</v>
      </c>
      <c r="W153" s="31">
        <f t="shared" si="58"/>
        <v>-6.9800492998104285E-3</v>
      </c>
      <c r="X153" s="31">
        <f t="shared" si="59"/>
        <v>-2.3266830999368097E-3</v>
      </c>
    </row>
    <row r="154" spans="1:24" ht="14.25" customHeight="1" x14ac:dyDescent="0.3">
      <c r="A154" s="3"/>
      <c r="B154" s="38">
        <v>70</v>
      </c>
      <c r="C154" s="10">
        <v>5.7</v>
      </c>
      <c r="D154" s="11">
        <v>2.6</v>
      </c>
      <c r="E154" s="11">
        <v>3.5</v>
      </c>
      <c r="F154" s="11">
        <v>1</v>
      </c>
      <c r="G154" s="39">
        <v>1</v>
      </c>
      <c r="I154" s="38">
        <f>I153-K2*T153</f>
        <v>0.38941653773613633</v>
      </c>
      <c r="J154" s="40">
        <f>J153-K2*U153</f>
        <v>-0.29527034827653248</v>
      </c>
      <c r="K154" s="40">
        <f>K153-K2*V153</f>
        <v>8.1259576856832591E-2</v>
      </c>
      <c r="L154" s="40">
        <f>L153-K2*W153</f>
        <v>0.82152019827302447</v>
      </c>
      <c r="M154" s="40">
        <f>M153-K2*X153</f>
        <v>0.66548078775173147</v>
      </c>
      <c r="N154" s="35">
        <f t="shared" si="50"/>
        <v>2.4584519340949829</v>
      </c>
      <c r="O154" s="35">
        <f t="shared" si="51"/>
        <v>0.92117733156117132</v>
      </c>
      <c r="P154" s="36">
        <f t="shared" si="52"/>
        <v>1</v>
      </c>
      <c r="Q154" s="36">
        <f t="shared" si="53"/>
        <v>-7.882266843882868E-2</v>
      </c>
      <c r="R154" s="37">
        <f t="shared" si="54"/>
        <v>6.2130130598175189E-3</v>
      </c>
      <c r="T154" s="31">
        <f t="shared" si="55"/>
        <v>-1.1446573582794821E-2</v>
      </c>
      <c r="U154" s="31">
        <f t="shared" si="56"/>
        <v>-6.5245469421930477E-2</v>
      </c>
      <c r="V154" s="31">
        <f t="shared" si="57"/>
        <v>-2.9761091315266535E-2</v>
      </c>
      <c r="W154" s="31">
        <f t="shared" si="58"/>
        <v>-4.006300753978187E-2</v>
      </c>
      <c r="X154" s="31">
        <f t="shared" si="59"/>
        <v>-1.1446573582794821E-2</v>
      </c>
    </row>
    <row r="155" spans="1:24" ht="14.25" customHeight="1" x14ac:dyDescent="0.3">
      <c r="A155" s="3"/>
      <c r="B155" s="38">
        <v>71</v>
      </c>
      <c r="C155" s="10">
        <v>5.5</v>
      </c>
      <c r="D155" s="11">
        <v>2.4</v>
      </c>
      <c r="E155" s="11">
        <v>3.8</v>
      </c>
      <c r="F155" s="11">
        <v>1.1000000000000001</v>
      </c>
      <c r="G155" s="39">
        <v>1</v>
      </c>
      <c r="I155" s="38">
        <f>I154-K2*T154</f>
        <v>0.39056119509441578</v>
      </c>
      <c r="J155" s="40">
        <f>J154-K2*U154</f>
        <v>-0.28874580133433941</v>
      </c>
      <c r="K155" s="40">
        <f>K154-K2*V154</f>
        <v>8.4235685988359246E-2</v>
      </c>
      <c r="L155" s="40">
        <f>L154-K2*W154</f>
        <v>0.8255264990270027</v>
      </c>
      <c r="M155" s="40">
        <f>M154-K2*X154</f>
        <v>0.66662544511001098</v>
      </c>
      <c r="N155" s="35">
        <f t="shared" si="50"/>
        <v>2.8749136200512333</v>
      </c>
      <c r="O155" s="35">
        <f t="shared" si="51"/>
        <v>0.94659230340315481</v>
      </c>
      <c r="P155" s="36">
        <f t="shared" si="52"/>
        <v>1</v>
      </c>
      <c r="Q155" s="36">
        <f t="shared" si="53"/>
        <v>-5.3407696596845189E-2</v>
      </c>
      <c r="R155" s="37">
        <f t="shared" si="54"/>
        <v>2.8523820557806692E-3</v>
      </c>
      <c r="T155" s="31">
        <f t="shared" si="55"/>
        <v>-5.4000858007344993E-3</v>
      </c>
      <c r="U155" s="31">
        <f t="shared" si="56"/>
        <v>-2.9700471904039745E-2</v>
      </c>
      <c r="V155" s="31">
        <f t="shared" si="57"/>
        <v>-1.2960205921762799E-2</v>
      </c>
      <c r="W155" s="31">
        <f t="shared" si="58"/>
        <v>-2.0520326042791096E-2</v>
      </c>
      <c r="X155" s="31">
        <f t="shared" si="59"/>
        <v>-5.9400943808079493E-3</v>
      </c>
    </row>
    <row r="156" spans="1:24" ht="14.25" customHeight="1" x14ac:dyDescent="0.3">
      <c r="A156" s="3"/>
      <c r="B156" s="38">
        <v>72</v>
      </c>
      <c r="C156" s="10">
        <v>5.5</v>
      </c>
      <c r="D156" s="11">
        <v>2.4</v>
      </c>
      <c r="E156" s="11">
        <v>3.7</v>
      </c>
      <c r="F156" s="11">
        <v>1</v>
      </c>
      <c r="G156" s="39">
        <v>1</v>
      </c>
      <c r="I156" s="38">
        <f>I155-K2*T155</f>
        <v>0.39110120367448925</v>
      </c>
      <c r="J156" s="40">
        <f>J155-K2*U155</f>
        <v>-0.28577575414393541</v>
      </c>
      <c r="K156" s="40">
        <f>K155-K2*V155</f>
        <v>8.5531706580535521E-2</v>
      </c>
      <c r="L156" s="40">
        <f>L155-K2*W155</f>
        <v>0.82757853163128181</v>
      </c>
      <c r="M156" s="40">
        <f>M155-K2*X155</f>
        <v>0.66721945454809173</v>
      </c>
      <c r="N156" s="35">
        <f t="shared" si="50"/>
        <v>2.7538706732599643</v>
      </c>
      <c r="O156" s="35">
        <f t="shared" si="51"/>
        <v>0.94013157905132227</v>
      </c>
      <c r="P156" s="36">
        <f t="shared" si="52"/>
        <v>1</v>
      </c>
      <c r="Q156" s="36">
        <f t="shared" si="53"/>
        <v>-5.9868420948677725E-2</v>
      </c>
      <c r="R156" s="37">
        <f t="shared" si="54"/>
        <v>3.5842278268880738E-3</v>
      </c>
      <c r="T156" s="31">
        <f t="shared" si="55"/>
        <v>-6.7392915331439488E-3</v>
      </c>
      <c r="U156" s="31">
        <f t="shared" si="56"/>
        <v>-3.7066103432291719E-2</v>
      </c>
      <c r="V156" s="31">
        <f t="shared" si="57"/>
        <v>-1.6174299679545475E-2</v>
      </c>
      <c r="W156" s="31">
        <f t="shared" si="58"/>
        <v>-2.493537867263261E-2</v>
      </c>
      <c r="X156" s="31">
        <f t="shared" si="59"/>
        <v>-6.7392915331439488E-3</v>
      </c>
    </row>
    <row r="157" spans="1:24" ht="14.25" customHeight="1" x14ac:dyDescent="0.3">
      <c r="A157" s="3"/>
      <c r="B157" s="38">
        <v>73</v>
      </c>
      <c r="C157" s="10">
        <v>5.8</v>
      </c>
      <c r="D157" s="11">
        <v>2.7</v>
      </c>
      <c r="E157" s="11">
        <v>3.9</v>
      </c>
      <c r="F157" s="11">
        <v>1.2</v>
      </c>
      <c r="G157" s="39">
        <v>1</v>
      </c>
      <c r="I157" s="38">
        <f>I156-K2*T156</f>
        <v>0.39177513282780363</v>
      </c>
      <c r="J157" s="40">
        <f>J156-K2*U156</f>
        <v>-0.28206914380070625</v>
      </c>
      <c r="K157" s="40">
        <f>K156-K2*V156</f>
        <v>8.7149136548490075E-2</v>
      </c>
      <c r="L157" s="40">
        <f>L156-K2*W156</f>
        <v>0.83007206949854506</v>
      </c>
      <c r="M157" s="40">
        <f>M156-K2*X156</f>
        <v>0.66789338370140616</v>
      </c>
      <c r="N157" s="35">
        <f t="shared" si="50"/>
        <v>3.029829898950644</v>
      </c>
      <c r="O157" s="35">
        <f t="shared" si="51"/>
        <v>0.95390369395267882</v>
      </c>
      <c r="P157" s="36">
        <f t="shared" si="52"/>
        <v>1</v>
      </c>
      <c r="Q157" s="36">
        <f t="shared" si="53"/>
        <v>-4.6096306047321178E-2</v>
      </c>
      <c r="R157" s="37">
        <f t="shared" si="54"/>
        <v>2.1248694312082988E-3</v>
      </c>
      <c r="T157" s="31">
        <f t="shared" si="55"/>
        <v>-4.0538415991934473E-3</v>
      </c>
      <c r="U157" s="31">
        <f t="shared" si="56"/>
        <v>-2.3512281275321994E-2</v>
      </c>
      <c r="V157" s="31">
        <f t="shared" si="57"/>
        <v>-1.0945372317822308E-2</v>
      </c>
      <c r="W157" s="31">
        <f t="shared" si="58"/>
        <v>-1.5809982236854443E-2</v>
      </c>
      <c r="X157" s="31">
        <f t="shared" si="59"/>
        <v>-4.8646099190321366E-3</v>
      </c>
    </row>
    <row r="158" spans="1:24" ht="14.25" customHeight="1" x14ac:dyDescent="0.3">
      <c r="A158" s="3"/>
      <c r="B158" s="38">
        <v>74</v>
      </c>
      <c r="C158" s="10">
        <v>6</v>
      </c>
      <c r="D158" s="11">
        <v>2.7</v>
      </c>
      <c r="E158" s="11">
        <v>5.0999999999999996</v>
      </c>
      <c r="F158" s="11">
        <v>1.6</v>
      </c>
      <c r="G158" s="39">
        <v>1</v>
      </c>
      <c r="I158" s="38">
        <f>I157-K2*T157</f>
        <v>0.39218051698772299</v>
      </c>
      <c r="J158" s="40">
        <f>J157-K2*U157</f>
        <v>-0.27971791567317406</v>
      </c>
      <c r="K158" s="40">
        <f>K157-K2*V157</f>
        <v>8.82436737802723E-2</v>
      </c>
      <c r="L158" s="40">
        <f>L157-K2*W157</f>
        <v>0.83165306772223047</v>
      </c>
      <c r="M158" s="40">
        <f>M157-K2*X157</f>
        <v>0.66837984469330936</v>
      </c>
      <c r="N158" s="35">
        <f t="shared" si="50"/>
        <v>4.2629693390480847</v>
      </c>
      <c r="O158" s="35">
        <f t="shared" si="51"/>
        <v>0.98611507502138995</v>
      </c>
      <c r="P158" s="36">
        <f t="shared" si="52"/>
        <v>1</v>
      </c>
      <c r="Q158" s="36">
        <f t="shared" si="53"/>
        <v>-1.3884924978610047E-2</v>
      </c>
      <c r="R158" s="37">
        <f t="shared" si="54"/>
        <v>1.9279114166162922E-4</v>
      </c>
      <c r="T158" s="31">
        <f t="shared" si="55"/>
        <v>-3.8022850224623384E-4</v>
      </c>
      <c r="U158" s="31">
        <f t="shared" si="56"/>
        <v>-2.2813710134774031E-3</v>
      </c>
      <c r="V158" s="31">
        <f t="shared" si="57"/>
        <v>-1.0266169560648314E-3</v>
      </c>
      <c r="W158" s="31">
        <f t="shared" si="58"/>
        <v>-1.9391653614557925E-3</v>
      </c>
      <c r="X158" s="31">
        <f t="shared" si="59"/>
        <v>-6.0836560359397421E-4</v>
      </c>
    </row>
    <row r="159" spans="1:24" ht="14.25" customHeight="1" x14ac:dyDescent="0.3">
      <c r="A159" s="3"/>
      <c r="B159" s="38">
        <v>75</v>
      </c>
      <c r="C159" s="10">
        <v>5.4</v>
      </c>
      <c r="D159" s="11">
        <v>3</v>
      </c>
      <c r="E159" s="11">
        <v>4.5</v>
      </c>
      <c r="F159" s="11">
        <v>1.5</v>
      </c>
      <c r="G159" s="39">
        <v>1</v>
      </c>
      <c r="I159" s="38">
        <f>I158-K2*T158</f>
        <v>0.39221853983794763</v>
      </c>
      <c r="J159" s="40">
        <f>J158-K2*U158</f>
        <v>-0.27948977857182633</v>
      </c>
      <c r="K159" s="40">
        <f>K158-K2*V158</f>
        <v>8.8346335475878779E-2</v>
      </c>
      <c r="L159" s="40">
        <f>L158-K2*W158</f>
        <v>0.831846984258376</v>
      </c>
      <c r="M159" s="40">
        <f>M158-K2*X158</f>
        <v>0.66844068125366873</v>
      </c>
      <c r="N159" s="35">
        <f t="shared" si="50"/>
        <v>3.8939851930209164</v>
      </c>
      <c r="O159" s="35">
        <f t="shared" si="51"/>
        <v>0.98004238787634357</v>
      </c>
      <c r="P159" s="36">
        <f t="shared" si="52"/>
        <v>1</v>
      </c>
      <c r="Q159" s="36">
        <f t="shared" si="53"/>
        <v>-1.9957612123656432E-2</v>
      </c>
      <c r="R159" s="37">
        <f t="shared" si="54"/>
        <v>3.9830628167831817E-4</v>
      </c>
      <c r="T159" s="31">
        <f t="shared" si="55"/>
        <v>-7.8071407880433291E-4</v>
      </c>
      <c r="U159" s="31">
        <f t="shared" si="56"/>
        <v>-4.2158560255433977E-3</v>
      </c>
      <c r="V159" s="31">
        <f t="shared" si="57"/>
        <v>-2.3421422364129987E-3</v>
      </c>
      <c r="W159" s="31">
        <f t="shared" si="58"/>
        <v>-3.5132133546194981E-3</v>
      </c>
      <c r="X159" s="31">
        <f t="shared" si="59"/>
        <v>-1.1710711182064994E-3</v>
      </c>
    </row>
    <row r="160" spans="1:24" ht="14.25" customHeight="1" x14ac:dyDescent="0.3">
      <c r="A160" s="3"/>
      <c r="B160" s="38">
        <v>76</v>
      </c>
      <c r="C160" s="10">
        <v>6</v>
      </c>
      <c r="D160" s="11">
        <v>3.4</v>
      </c>
      <c r="E160" s="11">
        <v>4.5</v>
      </c>
      <c r="F160" s="11">
        <v>1.6</v>
      </c>
      <c r="G160" s="39">
        <v>1</v>
      </c>
      <c r="I160" s="38">
        <f>I159-K2*T159</f>
        <v>0.39229661124582804</v>
      </c>
      <c r="J160" s="40">
        <f>J159-K2*U159</f>
        <v>-0.27906819296927199</v>
      </c>
      <c r="K160" s="40">
        <f>K159-K2*V159</f>
        <v>8.8580549699520075E-2</v>
      </c>
      <c r="L160" s="40">
        <f>L159-K2*W159</f>
        <v>0.83219830559383789</v>
      </c>
      <c r="M160" s="40">
        <f>M159-K2*X159</f>
        <v>0.6685577883654894</v>
      </c>
      <c r="N160" s="35">
        <f t="shared" si="50"/>
        <v>3.8336461589656183</v>
      </c>
      <c r="O160" s="35">
        <f t="shared" si="51"/>
        <v>0.97882737362285155</v>
      </c>
      <c r="P160" s="36">
        <f t="shared" si="52"/>
        <v>1</v>
      </c>
      <c r="Q160" s="36">
        <f t="shared" si="53"/>
        <v>-2.1172626377148451E-2</v>
      </c>
      <c r="R160" s="37">
        <f t="shared" si="54"/>
        <v>4.4828010770632233E-4</v>
      </c>
      <c r="T160" s="31">
        <f t="shared" si="55"/>
        <v>-8.7757768094709704E-4</v>
      </c>
      <c r="U160" s="31">
        <f t="shared" si="56"/>
        <v>-5.2654660856825825E-3</v>
      </c>
      <c r="V160" s="31">
        <f t="shared" si="57"/>
        <v>-2.9837641152201297E-3</v>
      </c>
      <c r="W160" s="31">
        <f t="shared" si="58"/>
        <v>-3.9490995642619368E-3</v>
      </c>
      <c r="X160" s="31">
        <f t="shared" si="59"/>
        <v>-1.4041242895153553E-3</v>
      </c>
    </row>
    <row r="161" spans="1:24" ht="14.25" customHeight="1" x14ac:dyDescent="0.3">
      <c r="A161" s="3"/>
      <c r="B161" s="38">
        <v>77</v>
      </c>
      <c r="C161" s="10">
        <v>6.7</v>
      </c>
      <c r="D161" s="11">
        <v>3.1</v>
      </c>
      <c r="E161" s="11">
        <v>4.7</v>
      </c>
      <c r="F161" s="11">
        <v>1.5</v>
      </c>
      <c r="G161" s="39">
        <v>1</v>
      </c>
      <c r="I161" s="38">
        <f>I160-K2*T160</f>
        <v>0.39238436901392276</v>
      </c>
      <c r="J161" s="40">
        <f>J160-K2*U160</f>
        <v>-0.27854164636070372</v>
      </c>
      <c r="K161" s="40">
        <f>K160-K2*V160</f>
        <v>8.8878926111042089E-2</v>
      </c>
      <c r="L161" s="40">
        <f>L160-K2*W160</f>
        <v>0.83259321555026411</v>
      </c>
      <c r="M161" s="40">
        <f>M160-K2*X160</f>
        <v>0.66869820079444098</v>
      </c>
      <c r="N161" s="35">
        <f t="shared" si="50"/>
        <v>3.717915423619341</v>
      </c>
      <c r="O161" s="35">
        <f t="shared" si="51"/>
        <v>0.97629121870926561</v>
      </c>
      <c r="P161" s="36">
        <f t="shared" si="52"/>
        <v>1</v>
      </c>
      <c r="Q161" s="36">
        <f t="shared" si="53"/>
        <v>-2.3708781290734393E-2</v>
      </c>
      <c r="R161" s="37">
        <f t="shared" si="54"/>
        <v>5.621063102918772E-4</v>
      </c>
      <c r="T161" s="31">
        <f t="shared" si="55"/>
        <v>-1.0975589094380507E-3</v>
      </c>
      <c r="U161" s="31">
        <f t="shared" si="56"/>
        <v>-7.3536446932349394E-3</v>
      </c>
      <c r="V161" s="31">
        <f t="shared" si="57"/>
        <v>-3.4024326192579574E-3</v>
      </c>
      <c r="W161" s="31">
        <f t="shared" si="58"/>
        <v>-5.158526874358838E-3</v>
      </c>
      <c r="X161" s="31">
        <f t="shared" si="59"/>
        <v>-1.646338364157076E-3</v>
      </c>
    </row>
    <row r="162" spans="1:24" ht="14.25" customHeight="1" x14ac:dyDescent="0.3">
      <c r="A162" s="3"/>
      <c r="B162" s="38">
        <v>78</v>
      </c>
      <c r="C162" s="10">
        <v>6.3</v>
      </c>
      <c r="D162" s="11">
        <v>2.2999999999999998</v>
      </c>
      <c r="E162" s="11">
        <v>4.4000000000000004</v>
      </c>
      <c r="F162" s="11">
        <v>1.3</v>
      </c>
      <c r="G162" s="39">
        <v>1</v>
      </c>
      <c r="I162" s="38">
        <f>I161-K2*T161</f>
        <v>0.39249412490486657</v>
      </c>
      <c r="J162" s="40">
        <f>J161-K2*U161</f>
        <v>-0.27780628189138024</v>
      </c>
      <c r="K162" s="40">
        <f>K161-K2*V161</f>
        <v>8.921916937296788E-2</v>
      </c>
      <c r="L162" s="40">
        <f>L161-K2*W161</f>
        <v>0.83310906823770003</v>
      </c>
      <c r="M162" s="40">
        <f>M161-K2*X161</f>
        <v>0.66886283463085672</v>
      </c>
      <c r="N162" s="35">
        <f t="shared" si="50"/>
        <v>3.3827202238129912</v>
      </c>
      <c r="O162" s="35">
        <f t="shared" si="51"/>
        <v>0.96716011327557083</v>
      </c>
      <c r="P162" s="36">
        <f t="shared" si="52"/>
        <v>1</v>
      </c>
      <c r="Q162" s="36">
        <f t="shared" si="53"/>
        <v>-3.2839886724429168E-2</v>
      </c>
      <c r="R162" s="37">
        <f t="shared" si="54"/>
        <v>1.0784581600733392E-3</v>
      </c>
      <c r="T162" s="31">
        <f t="shared" si="55"/>
        <v>-2.0860834325189888E-3</v>
      </c>
      <c r="U162" s="31">
        <f t="shared" si="56"/>
        <v>-1.314232562486963E-2</v>
      </c>
      <c r="V162" s="31">
        <f t="shared" si="57"/>
        <v>-4.7979918947936738E-3</v>
      </c>
      <c r="W162" s="31">
        <f t="shared" si="58"/>
        <v>-9.1787671030835512E-3</v>
      </c>
      <c r="X162" s="31">
        <f t="shared" si="59"/>
        <v>-2.7119084622746854E-3</v>
      </c>
    </row>
    <row r="163" spans="1:24" ht="14.25" customHeight="1" x14ac:dyDescent="0.3">
      <c r="A163" s="3"/>
      <c r="B163" s="38">
        <v>79</v>
      </c>
      <c r="C163" s="10">
        <v>5.6</v>
      </c>
      <c r="D163" s="11">
        <v>3</v>
      </c>
      <c r="E163" s="11">
        <v>4.0999999999999996</v>
      </c>
      <c r="F163" s="11">
        <v>1.3</v>
      </c>
      <c r="G163" s="39">
        <v>1</v>
      </c>
      <c r="I163" s="38">
        <f>I162-K2*T162</f>
        <v>0.3927027332481185</v>
      </c>
      <c r="J163" s="40">
        <f>J162-K2*U162</f>
        <v>-0.27649204932889326</v>
      </c>
      <c r="K163" s="40">
        <f>K162-K2*V162</f>
        <v>8.9698968562447245E-2</v>
      </c>
      <c r="L163" s="40">
        <f>L162-K2*W162</f>
        <v>0.83402694494800844</v>
      </c>
      <c r="M163" s="40">
        <f>M162-K2*X162</f>
        <v>0.66913402547708423</v>
      </c>
      <c r="N163" s="35">
        <f t="shared" si="50"/>
        <v>3.4028288701007021</v>
      </c>
      <c r="O163" s="35">
        <f t="shared" si="51"/>
        <v>0.96779282759663987</v>
      </c>
      <c r="P163" s="36">
        <f t="shared" si="52"/>
        <v>1</v>
      </c>
      <c r="Q163" s="36">
        <f t="shared" si="53"/>
        <v>-3.2207172403360129E-2</v>
      </c>
      <c r="R163" s="37">
        <f t="shared" si="54"/>
        <v>1.0373019542197623E-3</v>
      </c>
      <c r="T163" s="31">
        <f t="shared" si="55"/>
        <v>-2.007786782691728E-3</v>
      </c>
      <c r="U163" s="31">
        <f t="shared" si="56"/>
        <v>-1.1243605983073677E-2</v>
      </c>
      <c r="V163" s="31">
        <f t="shared" si="57"/>
        <v>-6.0233603480751834E-3</v>
      </c>
      <c r="W163" s="31">
        <f t="shared" si="58"/>
        <v>-8.231925809036084E-3</v>
      </c>
      <c r="X163" s="31">
        <f t="shared" si="59"/>
        <v>-2.6101228174992466E-3</v>
      </c>
    </row>
    <row r="164" spans="1:24" ht="14.25" customHeight="1" x14ac:dyDescent="0.3">
      <c r="A164" s="3"/>
      <c r="B164" s="38">
        <v>80</v>
      </c>
      <c r="C164" s="10">
        <v>5.5</v>
      </c>
      <c r="D164" s="11">
        <v>2.5</v>
      </c>
      <c r="E164" s="11">
        <v>4</v>
      </c>
      <c r="F164" s="11">
        <v>1.3</v>
      </c>
      <c r="G164" s="39">
        <v>1</v>
      </c>
      <c r="H164" s="37">
        <f>SUMPRODUCT(--(P85:P164=G85:G164))/80</f>
        <v>0.95</v>
      </c>
      <c r="I164" s="38">
        <f>I163-K2*T163</f>
        <v>0.39290351192638767</v>
      </c>
      <c r="J164" s="40">
        <f>J163-K2*U163</f>
        <v>-0.27536768873058587</v>
      </c>
      <c r="K164" s="40">
        <f>K163-K2*V163</f>
        <v>9.0301304597254758E-2</v>
      </c>
      <c r="L164" s="40">
        <f>L163-K2*W163</f>
        <v>0.83485013752891202</v>
      </c>
      <c r="M164" s="40">
        <f>M163-K2*X163</f>
        <v>0.66939503775883413</v>
      </c>
      <c r="N164" s="35">
        <f t="shared" si="50"/>
        <v>3.3137485846034349</v>
      </c>
      <c r="O164" s="35">
        <f t="shared" si="51"/>
        <v>0.96489746814594357</v>
      </c>
      <c r="P164" s="36">
        <f t="shared" si="52"/>
        <v>1</v>
      </c>
      <c r="Q164" s="36">
        <f t="shared" si="53"/>
        <v>-3.5102531854056429E-2</v>
      </c>
      <c r="R164" s="37">
        <f t="shared" si="54"/>
        <v>1.2321877425650464E-3</v>
      </c>
      <c r="S164">
        <f>AVERAGE(R85:R164)</f>
        <v>3.4548306492121227E-2</v>
      </c>
      <c r="T164" s="31">
        <f t="shared" si="55"/>
        <v>-2.377869666162958E-3</v>
      </c>
      <c r="U164" s="31">
        <f t="shared" si="56"/>
        <v>-1.3078283163896269E-2</v>
      </c>
      <c r="V164" s="31">
        <f t="shared" si="57"/>
        <v>-5.9446741654073949E-3</v>
      </c>
      <c r="W164" s="31">
        <f t="shared" si="58"/>
        <v>-9.5114786646518321E-3</v>
      </c>
      <c r="X164" s="31">
        <f t="shared" si="59"/>
        <v>-3.0912305660118454E-3</v>
      </c>
    </row>
    <row r="165" spans="1:24" ht="14.25" customHeight="1" x14ac:dyDescent="0.3">
      <c r="A165" s="2"/>
      <c r="B165" s="38">
        <v>1</v>
      </c>
      <c r="C165" s="10">
        <v>5.0999999999999996</v>
      </c>
      <c r="D165" s="11">
        <v>3.5</v>
      </c>
      <c r="E165" s="11">
        <v>1.4</v>
      </c>
      <c r="F165" s="11">
        <v>0.2</v>
      </c>
      <c r="G165" s="39">
        <v>0</v>
      </c>
      <c r="I165" s="38">
        <f>I164-K2*T164</f>
        <v>0.39314129889300398</v>
      </c>
      <c r="J165" s="40">
        <f>J164-K2*U164</f>
        <v>-0.27405986041419622</v>
      </c>
      <c r="K165" s="40">
        <f>K164-K2*V164</f>
        <v>9.0895772013795492E-2</v>
      </c>
      <c r="L165" s="40">
        <f>L164-K2*W164</f>
        <v>0.83580128539537724</v>
      </c>
      <c r="M165" s="40">
        <f>M164-K2*X164</f>
        <v>0.66970416081543527</v>
      </c>
      <c r="N165" s="35">
        <f t="shared" ref="N165:N196" si="60">I165+J165*C165+K165*D165+L165*E165+F165*M165</f>
        <v>0.61763384454550252</v>
      </c>
      <c r="O165" s="35">
        <f t="shared" ref="O165:O196" si="61">1/(1+EXP(-N165))</f>
        <v>0.64968021236162043</v>
      </c>
      <c r="P165" s="36">
        <f t="shared" ref="P165:P196" si="62">IF(O165&gt;0.5,1,0)</f>
        <v>1</v>
      </c>
      <c r="Q165" s="36">
        <f t="shared" ref="Q165:Q196" si="63">O165-G165</f>
        <v>0.64968021236162043</v>
      </c>
      <c r="R165" s="37">
        <f t="shared" ref="R165:R196" si="64">Q165^2</f>
        <v>0.42208437833424023</v>
      </c>
      <c r="T165" s="31">
        <f t="shared" ref="T165:T196" si="65">2*(O165-G165)*(1-O165)*O165</f>
        <v>0.29572901956705699</v>
      </c>
      <c r="U165" s="31">
        <f t="shared" ref="U165:U196" si="66">2*(O165-G165)*(1-O165)*O165*C165</f>
        <v>1.5082179997919907</v>
      </c>
      <c r="V165" s="31">
        <f t="shared" ref="V165:V196" si="67">2*(O165-G165)*(1-O165)*O165*D165</f>
        <v>1.0350515684846995</v>
      </c>
      <c r="W165" s="31">
        <f t="shared" ref="W165:W196" si="68">2*(O165-G165)*(1-O165)*O165*E165</f>
        <v>0.41402062739387979</v>
      </c>
      <c r="X165" s="31">
        <f t="shared" ref="X165:X196" si="69">2*(O165-G165)*(1-O165)*O165*F165</f>
        <v>5.9145803913411399E-2</v>
      </c>
    </row>
    <row r="166" spans="1:24" ht="14.25" customHeight="1" x14ac:dyDescent="0.3">
      <c r="A166" s="2"/>
      <c r="B166" s="38">
        <v>2</v>
      </c>
      <c r="C166" s="10">
        <v>4.9000000000000004</v>
      </c>
      <c r="D166" s="11">
        <v>3</v>
      </c>
      <c r="E166" s="11">
        <v>1.4</v>
      </c>
      <c r="F166" s="11">
        <v>0.2</v>
      </c>
      <c r="G166" s="39">
        <v>0</v>
      </c>
      <c r="I166" s="38">
        <f>I165-K2*T165</f>
        <v>0.36356839693629828</v>
      </c>
      <c r="J166" s="40">
        <f>J165-K2*U165</f>
        <v>-0.42488166039339531</v>
      </c>
      <c r="K166" s="40">
        <f>K165-K2*V165</f>
        <v>-1.2609384834674456E-2</v>
      </c>
      <c r="L166" s="40">
        <f>L165-K2*W165</f>
        <v>0.79439922265598928</v>
      </c>
      <c r="M166" s="40">
        <f>M165-K2*X165</f>
        <v>0.66378958042409408</v>
      </c>
      <c r="N166" s="35">
        <f t="shared" si="60"/>
        <v>-0.51126306569215851</v>
      </c>
      <c r="O166" s="35">
        <f t="shared" si="61"/>
        <v>0.374897480155999</v>
      </c>
      <c r="P166" s="36">
        <f t="shared" si="62"/>
        <v>0</v>
      </c>
      <c r="Q166" s="36">
        <f t="shared" si="63"/>
        <v>0.374897480155999</v>
      </c>
      <c r="R166" s="37">
        <f t="shared" si="64"/>
        <v>0.14054812062731767</v>
      </c>
      <c r="T166" s="31">
        <f t="shared" si="65"/>
        <v>0.17571396872694978</v>
      </c>
      <c r="U166" s="31">
        <f t="shared" si="66"/>
        <v>0.86099844676205395</v>
      </c>
      <c r="V166" s="31">
        <f t="shared" si="67"/>
        <v>0.52714190618084933</v>
      </c>
      <c r="W166" s="31">
        <f t="shared" si="68"/>
        <v>0.24599955621772968</v>
      </c>
      <c r="X166" s="31">
        <f t="shared" si="69"/>
        <v>3.5142793745389957E-2</v>
      </c>
    </row>
    <row r="167" spans="1:24" ht="14.25" customHeight="1" x14ac:dyDescent="0.3">
      <c r="A167" s="2"/>
      <c r="B167" s="38">
        <v>3</v>
      </c>
      <c r="C167" s="10">
        <v>4.7</v>
      </c>
      <c r="D167" s="11">
        <v>3.2</v>
      </c>
      <c r="E167" s="11">
        <v>1.3</v>
      </c>
      <c r="F167" s="11">
        <v>0.2</v>
      </c>
      <c r="G167" s="39">
        <v>0</v>
      </c>
      <c r="I167" s="38">
        <f>I166-K2*T166</f>
        <v>0.34599700006360329</v>
      </c>
      <c r="J167" s="40">
        <f>J166-K2*U166</f>
        <v>-0.51098150506960072</v>
      </c>
      <c r="K167" s="40">
        <f>K166-K2*V166</f>
        <v>-6.5323575452759394E-2</v>
      </c>
      <c r="L167" s="40">
        <f>L166-K2*W166</f>
        <v>0.76979926703421631</v>
      </c>
      <c r="M167" s="40">
        <f>M166-K2*X166</f>
        <v>0.66027530104955512</v>
      </c>
      <c r="N167" s="35">
        <f t="shared" si="60"/>
        <v>-1.1318574078579575</v>
      </c>
      <c r="O167" s="35">
        <f t="shared" si="61"/>
        <v>0.24381848577274035</v>
      </c>
      <c r="P167" s="36">
        <f t="shared" si="62"/>
        <v>0</v>
      </c>
      <c r="Q167" s="36">
        <f t="shared" si="63"/>
        <v>0.24381848577274035</v>
      </c>
      <c r="R167" s="37">
        <f t="shared" si="64"/>
        <v>5.9447454004511985E-2</v>
      </c>
      <c r="T167" s="31">
        <f t="shared" si="65"/>
        <v>8.9906131572174489E-2</v>
      </c>
      <c r="U167" s="31">
        <f t="shared" si="66"/>
        <v>0.4225588183892201</v>
      </c>
      <c r="V167" s="31">
        <f t="shared" si="67"/>
        <v>0.28769962103095836</v>
      </c>
      <c r="W167" s="31">
        <f t="shared" si="68"/>
        <v>0.11687797104382684</v>
      </c>
      <c r="X167" s="31">
        <f t="shared" si="69"/>
        <v>1.7981226314434898E-2</v>
      </c>
    </row>
    <row r="168" spans="1:24" ht="14.25" customHeight="1" x14ac:dyDescent="0.3">
      <c r="A168" s="2"/>
      <c r="B168" s="38">
        <v>4</v>
      </c>
      <c r="C168" s="10">
        <v>4.5999999999999996</v>
      </c>
      <c r="D168" s="11">
        <v>3.1</v>
      </c>
      <c r="E168" s="11">
        <v>1.5</v>
      </c>
      <c r="F168" s="11">
        <v>0.2</v>
      </c>
      <c r="G168" s="39">
        <v>0</v>
      </c>
      <c r="I168" s="38">
        <f>I167-K2*T167</f>
        <v>0.33700638690638585</v>
      </c>
      <c r="J168" s="40">
        <f>J167-K2*U167</f>
        <v>-0.55323738690852275</v>
      </c>
      <c r="K168" s="40">
        <f>K167-K2*V167</f>
        <v>-9.4093537555855228E-2</v>
      </c>
      <c r="L168" s="40">
        <f>L167-K2*W167</f>
        <v>0.75811146992983358</v>
      </c>
      <c r="M168" s="40">
        <f>M167-K2*X167</f>
        <v>0.6584771784181116</v>
      </c>
      <c r="N168" s="35">
        <f t="shared" si="60"/>
        <v>-1.2307129187175974</v>
      </c>
      <c r="O168" s="35">
        <f t="shared" si="61"/>
        <v>0.22605667263933224</v>
      </c>
      <c r="P168" s="36">
        <f t="shared" si="62"/>
        <v>0</v>
      </c>
      <c r="Q168" s="36">
        <f t="shared" si="63"/>
        <v>0.22605667263933224</v>
      </c>
      <c r="R168" s="37">
        <f t="shared" si="64"/>
        <v>5.1101619244766222E-2</v>
      </c>
      <c r="T168" s="31">
        <f t="shared" si="65"/>
        <v>7.9099514463624607E-2</v>
      </c>
      <c r="U168" s="31">
        <f t="shared" si="66"/>
        <v>0.36385776653267315</v>
      </c>
      <c r="V168" s="31">
        <f t="shared" si="67"/>
        <v>0.24520849483723628</v>
      </c>
      <c r="W168" s="31">
        <f t="shared" si="68"/>
        <v>0.1186492716954369</v>
      </c>
      <c r="X168" s="31">
        <f t="shared" si="69"/>
        <v>1.5819902892724922E-2</v>
      </c>
    </row>
    <row r="169" spans="1:24" ht="14.25" customHeight="1" x14ac:dyDescent="0.3">
      <c r="A169" s="2"/>
      <c r="B169" s="38">
        <v>5</v>
      </c>
      <c r="C169" s="10">
        <v>5</v>
      </c>
      <c r="D169" s="11">
        <v>3.6</v>
      </c>
      <c r="E169" s="11">
        <v>1.4</v>
      </c>
      <c r="F169" s="11">
        <v>0.2</v>
      </c>
      <c r="G169" s="39">
        <v>0</v>
      </c>
      <c r="I169" s="38">
        <f>I168-K2*T168</f>
        <v>0.32909643546002337</v>
      </c>
      <c r="J169" s="40">
        <f>J168-K2*U168</f>
        <v>-0.58962316356179012</v>
      </c>
      <c r="K169" s="40">
        <f>K168-K2*V168</f>
        <v>-0.11861438703957886</v>
      </c>
      <c r="L169" s="40">
        <f>L168-K2*W168</f>
        <v>0.7462465427602899</v>
      </c>
      <c r="M169" s="40">
        <f>M168-K2*X168</f>
        <v>0.65689518812883907</v>
      </c>
      <c r="N169" s="35">
        <f t="shared" si="60"/>
        <v>-1.8699069782012381</v>
      </c>
      <c r="O169" s="35">
        <f t="shared" si="61"/>
        <v>0.13355248629719627</v>
      </c>
      <c r="P169" s="36">
        <f t="shared" si="62"/>
        <v>0</v>
      </c>
      <c r="Q169" s="36">
        <f t="shared" si="63"/>
        <v>0.13355248629719627</v>
      </c>
      <c r="R169" s="37">
        <f t="shared" si="64"/>
        <v>1.7836266596162796E-2</v>
      </c>
      <c r="T169" s="31">
        <f t="shared" si="65"/>
        <v>3.0908377691971248E-2</v>
      </c>
      <c r="U169" s="31">
        <f t="shared" si="66"/>
        <v>0.15454188845985625</v>
      </c>
      <c r="V169" s="31">
        <f t="shared" si="67"/>
        <v>0.11127015969109649</v>
      </c>
      <c r="W169" s="31">
        <f t="shared" si="68"/>
        <v>4.3271728768759746E-2</v>
      </c>
      <c r="X169" s="31">
        <f t="shared" si="69"/>
        <v>6.1816755383942504E-3</v>
      </c>
    </row>
    <row r="170" spans="1:24" ht="14.25" customHeight="1" x14ac:dyDescent="0.3">
      <c r="A170" s="2"/>
      <c r="B170" s="38">
        <v>6</v>
      </c>
      <c r="C170" s="10">
        <v>5.4</v>
      </c>
      <c r="D170" s="11">
        <v>3.9</v>
      </c>
      <c r="E170" s="11">
        <v>1.7</v>
      </c>
      <c r="F170" s="11">
        <v>0.4</v>
      </c>
      <c r="G170" s="39">
        <v>0</v>
      </c>
      <c r="I170" s="38">
        <f>I169-K2*T169</f>
        <v>0.32600559769082627</v>
      </c>
      <c r="J170" s="40">
        <f>J169-K2*U169</f>
        <v>-0.60507735240777571</v>
      </c>
      <c r="K170" s="40">
        <f>K169-K2*V169</f>
        <v>-0.1297414030086885</v>
      </c>
      <c r="L170" s="40">
        <f>L169-K2*W169</f>
        <v>0.74191936988341389</v>
      </c>
      <c r="M170" s="40">
        <f>M169-K2*X169</f>
        <v>0.65627702057499959</v>
      </c>
      <c r="N170" s="35">
        <f t="shared" si="60"/>
        <v>-1.923629840013245</v>
      </c>
      <c r="O170" s="35">
        <f t="shared" si="61"/>
        <v>0.12745733849583804</v>
      </c>
      <c r="P170" s="36">
        <f t="shared" si="62"/>
        <v>0</v>
      </c>
      <c r="Q170" s="36">
        <f t="shared" si="63"/>
        <v>0.12745733849583804</v>
      </c>
      <c r="R170" s="37">
        <f t="shared" si="64"/>
        <v>1.6245373136442639E-2</v>
      </c>
      <c r="T170" s="31">
        <f t="shared" si="65"/>
        <v>2.8349562227199747E-2</v>
      </c>
      <c r="U170" s="31">
        <f t="shared" si="66"/>
        <v>0.15308763602687864</v>
      </c>
      <c r="V170" s="31">
        <f t="shared" si="67"/>
        <v>0.11056329268607901</v>
      </c>
      <c r="W170" s="31">
        <f t="shared" si="68"/>
        <v>4.8194255786239572E-2</v>
      </c>
      <c r="X170" s="31">
        <f t="shared" si="69"/>
        <v>1.1339824890879899E-2</v>
      </c>
    </row>
    <row r="171" spans="1:24" ht="14.25" customHeight="1" x14ac:dyDescent="0.3">
      <c r="A171" s="2"/>
      <c r="B171" s="38">
        <v>7</v>
      </c>
      <c r="C171" s="10">
        <v>4.5999999999999996</v>
      </c>
      <c r="D171" s="11">
        <v>3.4</v>
      </c>
      <c r="E171" s="11">
        <v>1.4</v>
      </c>
      <c r="F171" s="11">
        <v>0.3</v>
      </c>
      <c r="G171" s="39">
        <v>0</v>
      </c>
      <c r="I171" s="38">
        <f>I170-K2*T170</f>
        <v>0.32317064146810631</v>
      </c>
      <c r="J171" s="40">
        <f>J170-K2*U170</f>
        <v>-0.62038611601046356</v>
      </c>
      <c r="K171" s="40">
        <f>K170-K2*V170</f>
        <v>-0.14079773227729639</v>
      </c>
      <c r="L171" s="40">
        <f>L170-K2*W170</f>
        <v>0.73709994430478998</v>
      </c>
      <c r="M171" s="40">
        <f>M170-K2*X170</f>
        <v>0.65514303808591157</v>
      </c>
      <c r="N171" s="35">
        <f t="shared" si="60"/>
        <v>-1.7808349484703541</v>
      </c>
      <c r="O171" s="35">
        <f t="shared" si="61"/>
        <v>0.14420006548701816</v>
      </c>
      <c r="P171" s="36">
        <f t="shared" si="62"/>
        <v>0</v>
      </c>
      <c r="Q171" s="36">
        <f t="shared" si="63"/>
        <v>0.14420006548701816</v>
      </c>
      <c r="R171" s="37">
        <f t="shared" si="64"/>
        <v>2.0793658886460328E-2</v>
      </c>
      <c r="T171" s="31">
        <f t="shared" si="65"/>
        <v>3.5590423826636061E-2</v>
      </c>
      <c r="U171" s="31">
        <f t="shared" si="66"/>
        <v>0.16371594960252586</v>
      </c>
      <c r="V171" s="31">
        <f t="shared" si="67"/>
        <v>0.1210074410105626</v>
      </c>
      <c r="W171" s="31">
        <f t="shared" si="68"/>
        <v>4.9826593357290484E-2</v>
      </c>
      <c r="X171" s="31">
        <f t="shared" si="69"/>
        <v>1.0677127147990817E-2</v>
      </c>
    </row>
    <row r="172" spans="1:24" ht="14.25" customHeight="1" x14ac:dyDescent="0.3">
      <c r="A172" s="2"/>
      <c r="B172" s="38">
        <v>8</v>
      </c>
      <c r="C172" s="10">
        <v>5</v>
      </c>
      <c r="D172" s="11">
        <v>3.4</v>
      </c>
      <c r="E172" s="11">
        <v>1.5</v>
      </c>
      <c r="F172" s="11">
        <v>0.2</v>
      </c>
      <c r="G172" s="39">
        <v>0</v>
      </c>
      <c r="I172" s="38">
        <f>I171-K2*T171</f>
        <v>0.31961159908544273</v>
      </c>
      <c r="J172" s="40">
        <f>J171-K2*U171</f>
        <v>-0.6367577109707161</v>
      </c>
      <c r="K172" s="40">
        <f>K171-K2*V171</f>
        <v>-0.15289847637835266</v>
      </c>
      <c r="L172" s="40">
        <f>L171-K2*W171</f>
        <v>0.73211728496906092</v>
      </c>
      <c r="M172" s="40">
        <f>M171-K2*X171</f>
        <v>0.65407532537111246</v>
      </c>
      <c r="N172" s="35">
        <f t="shared" si="60"/>
        <v>-2.1550407829267231</v>
      </c>
      <c r="O172" s="35">
        <f t="shared" si="61"/>
        <v>0.10386111962133479</v>
      </c>
      <c r="P172" s="36">
        <f t="shared" si="62"/>
        <v>0</v>
      </c>
      <c r="Q172" s="36">
        <f t="shared" si="63"/>
        <v>0.10386111962133479</v>
      </c>
      <c r="R172" s="37">
        <f t="shared" si="64"/>
        <v>1.0787132168997215E-2</v>
      </c>
      <c r="T172" s="31">
        <f t="shared" si="65"/>
        <v>1.9333537088843691E-2</v>
      </c>
      <c r="U172" s="31">
        <f t="shared" si="66"/>
        <v>9.6667685444218457E-2</v>
      </c>
      <c r="V172" s="31">
        <f t="shared" si="67"/>
        <v>6.5734026102068549E-2</v>
      </c>
      <c r="W172" s="31">
        <f t="shared" si="68"/>
        <v>2.9000305633265534E-2</v>
      </c>
      <c r="X172" s="31">
        <f t="shared" si="69"/>
        <v>3.8667074177687385E-3</v>
      </c>
    </row>
    <row r="173" spans="1:24" ht="14.25" customHeight="1" x14ac:dyDescent="0.3">
      <c r="A173" s="2"/>
      <c r="B173" s="38">
        <v>9</v>
      </c>
      <c r="C173" s="10">
        <v>4.4000000000000004</v>
      </c>
      <c r="D173" s="11">
        <v>2.9</v>
      </c>
      <c r="E173" s="11">
        <v>1.4</v>
      </c>
      <c r="F173" s="11">
        <v>0.2</v>
      </c>
      <c r="G173" s="39">
        <v>0</v>
      </c>
      <c r="I173" s="38">
        <f>I172-K2*T172</f>
        <v>0.31767824537655837</v>
      </c>
      <c r="J173" s="40">
        <f>J172-K2*U172</f>
        <v>-0.64642447951513793</v>
      </c>
      <c r="K173" s="40">
        <f>K172-K2*V172</f>
        <v>-0.15947187898855952</v>
      </c>
      <c r="L173" s="40">
        <f>L172-K2*W172</f>
        <v>0.72921725440573437</v>
      </c>
      <c r="M173" s="40">
        <f>M172-K2*X172</f>
        <v>0.65368865462933556</v>
      </c>
      <c r="N173" s="35">
        <f t="shared" si="60"/>
        <v>-1.8374160264629762</v>
      </c>
      <c r="O173" s="35">
        <f t="shared" si="61"/>
        <v>0.13735718127445531</v>
      </c>
      <c r="P173" s="36">
        <f t="shared" si="62"/>
        <v>0</v>
      </c>
      <c r="Q173" s="36">
        <f t="shared" si="63"/>
        <v>0.13735718127445531</v>
      </c>
      <c r="R173" s="37">
        <f t="shared" si="64"/>
        <v>1.8866995247663578E-2</v>
      </c>
      <c r="T173" s="31">
        <f t="shared" si="65"/>
        <v>3.2550955922651933E-2</v>
      </c>
      <c r="U173" s="31">
        <f t="shared" si="66"/>
        <v>0.14322420605966851</v>
      </c>
      <c r="V173" s="31">
        <f t="shared" si="67"/>
        <v>9.4397772175690606E-2</v>
      </c>
      <c r="W173" s="31">
        <f t="shared" si="68"/>
        <v>4.5571338291712706E-2</v>
      </c>
      <c r="X173" s="31">
        <f t="shared" si="69"/>
        <v>6.5101911845303869E-3</v>
      </c>
    </row>
    <row r="174" spans="1:24" ht="14.25" customHeight="1" x14ac:dyDescent="0.3">
      <c r="A174" s="2"/>
      <c r="B174" s="38">
        <v>10</v>
      </c>
      <c r="C174" s="10">
        <v>4.9000000000000004</v>
      </c>
      <c r="D174" s="11">
        <v>3.1</v>
      </c>
      <c r="E174" s="11">
        <v>1.5</v>
      </c>
      <c r="F174" s="11">
        <v>0.1</v>
      </c>
      <c r="G174" s="39">
        <v>0</v>
      </c>
      <c r="I174" s="38">
        <f>I173-K2*T173</f>
        <v>0.3144231497842932</v>
      </c>
      <c r="J174" s="40">
        <f>J173-K2*U173</f>
        <v>-0.66074690012110482</v>
      </c>
      <c r="K174" s="40">
        <f>K173-K2*V173</f>
        <v>-0.16891165620612858</v>
      </c>
      <c r="L174" s="40">
        <f>L173-K2*W173</f>
        <v>0.72466012057656315</v>
      </c>
      <c r="M174" s="40">
        <f>M173-K2*X173</f>
        <v>0.65303763551088256</v>
      </c>
      <c r="N174" s="35">
        <f t="shared" si="60"/>
        <v>-2.2945688506321869</v>
      </c>
      <c r="O174" s="35">
        <f t="shared" si="61"/>
        <v>9.1573766436729639E-2</v>
      </c>
      <c r="P174" s="36">
        <f t="shared" si="62"/>
        <v>0</v>
      </c>
      <c r="Q174" s="36">
        <f t="shared" si="63"/>
        <v>9.1573766436729639E-2</v>
      </c>
      <c r="R174" s="37">
        <f t="shared" si="64"/>
        <v>8.385754699408712E-3</v>
      </c>
      <c r="T174" s="31">
        <f t="shared" si="65"/>
        <v>1.5235679114338702E-2</v>
      </c>
      <c r="U174" s="31">
        <f t="shared" si="66"/>
        <v>7.4654827660259646E-2</v>
      </c>
      <c r="V174" s="31">
        <f t="shared" si="67"/>
        <v>4.7230605254449977E-2</v>
      </c>
      <c r="W174" s="31">
        <f t="shared" si="68"/>
        <v>2.2853518671508054E-2</v>
      </c>
      <c r="X174" s="31">
        <f t="shared" si="69"/>
        <v>1.5235679114338702E-3</v>
      </c>
    </row>
    <row r="175" spans="1:24" ht="14.25" customHeight="1" x14ac:dyDescent="0.3">
      <c r="A175" s="2"/>
      <c r="B175" s="38">
        <v>11</v>
      </c>
      <c r="C175" s="10">
        <v>5.4</v>
      </c>
      <c r="D175" s="11">
        <v>3.7</v>
      </c>
      <c r="E175" s="11">
        <v>1.5</v>
      </c>
      <c r="F175" s="11">
        <v>0.2</v>
      </c>
      <c r="G175" s="39">
        <v>0</v>
      </c>
      <c r="I175" s="38">
        <f>I174-K2*T174</f>
        <v>0.31289958187285932</v>
      </c>
      <c r="J175" s="40">
        <f>J174-K2*U174</f>
        <v>-0.66821238288713081</v>
      </c>
      <c r="K175" s="40">
        <f>K174-K2*V174</f>
        <v>-0.17363471673157357</v>
      </c>
      <c r="L175" s="40">
        <f>L174-K2*W174</f>
        <v>0.72237476870941231</v>
      </c>
      <c r="M175" s="40">
        <f>M174-K2*X174</f>
        <v>0.65288527871973923</v>
      </c>
      <c r="N175" s="35">
        <f t="shared" si="60"/>
        <v>-2.723756528816403</v>
      </c>
      <c r="O175" s="35">
        <f t="shared" si="61"/>
        <v>6.1586006671690473E-2</v>
      </c>
      <c r="P175" s="36">
        <f t="shared" si="62"/>
        <v>0</v>
      </c>
      <c r="Q175" s="36">
        <f t="shared" si="63"/>
        <v>6.1586006671690473E-2</v>
      </c>
      <c r="R175" s="37">
        <f t="shared" si="64"/>
        <v>3.7928362177655035E-3</v>
      </c>
      <c r="T175" s="31">
        <f t="shared" si="65"/>
        <v>7.1185011623071358E-3</v>
      </c>
      <c r="U175" s="31">
        <f t="shared" si="66"/>
        <v>3.8439906276458533E-2</v>
      </c>
      <c r="V175" s="31">
        <f t="shared" si="67"/>
        <v>2.6338454300536402E-2</v>
      </c>
      <c r="W175" s="31">
        <f t="shared" si="68"/>
        <v>1.0677751743460704E-2</v>
      </c>
      <c r="X175" s="31">
        <f t="shared" si="69"/>
        <v>1.4237002324614272E-3</v>
      </c>
    </row>
    <row r="176" spans="1:24" ht="14.25" customHeight="1" x14ac:dyDescent="0.3">
      <c r="A176" s="2"/>
      <c r="B176" s="38">
        <v>12</v>
      </c>
      <c r="C176" s="10">
        <v>4.8</v>
      </c>
      <c r="D176" s="11">
        <v>3.4</v>
      </c>
      <c r="E176" s="11">
        <v>1.6</v>
      </c>
      <c r="F176" s="11">
        <v>0.2</v>
      </c>
      <c r="G176" s="39">
        <v>0</v>
      </c>
      <c r="I176" s="38">
        <f>I175-K2*T175</f>
        <v>0.31218773175662862</v>
      </c>
      <c r="J176" s="40">
        <f>J175-K2*U175</f>
        <v>-0.67205637351477665</v>
      </c>
      <c r="K176" s="40">
        <f>K175-K2*V175</f>
        <v>-0.1762685621616272</v>
      </c>
      <c r="L176" s="40">
        <f>L175-K2*W175</f>
        <v>0.72130699353506622</v>
      </c>
      <c r="M176" s="40">
        <f>M175-K2*X175</f>
        <v>0.6527429086964931</v>
      </c>
      <c r="N176" s="35">
        <f t="shared" si="60"/>
        <v>-2.2283562010684275</v>
      </c>
      <c r="O176" s="35">
        <f t="shared" si="61"/>
        <v>9.723283587497801E-2</v>
      </c>
      <c r="P176" s="36">
        <f t="shared" si="62"/>
        <v>0</v>
      </c>
      <c r="Q176" s="36">
        <f t="shared" si="63"/>
        <v>9.723283587497801E-2</v>
      </c>
      <c r="R176" s="37">
        <f t="shared" si="64"/>
        <v>9.454224372290411E-3</v>
      </c>
      <c r="T176" s="31">
        <f t="shared" si="65"/>
        <v>1.7069926651148561E-2</v>
      </c>
      <c r="U176" s="31">
        <f t="shared" si="66"/>
        <v>8.1935647925513097E-2</v>
      </c>
      <c r="V176" s="31">
        <f t="shared" si="67"/>
        <v>5.8037750613905106E-2</v>
      </c>
      <c r="W176" s="31">
        <f t="shared" si="68"/>
        <v>2.73118826418377E-2</v>
      </c>
      <c r="X176" s="31">
        <f t="shared" si="69"/>
        <v>3.4139853302297125E-3</v>
      </c>
    </row>
    <row r="177" spans="1:24" ht="14.25" customHeight="1" x14ac:dyDescent="0.3">
      <c r="A177" s="2"/>
      <c r="B177" s="38">
        <v>13</v>
      </c>
      <c r="C177" s="10">
        <v>4.8</v>
      </c>
      <c r="D177" s="11">
        <v>3</v>
      </c>
      <c r="E177" s="11">
        <v>1.4</v>
      </c>
      <c r="F177" s="11">
        <v>0.1</v>
      </c>
      <c r="G177" s="39">
        <v>0</v>
      </c>
      <c r="I177" s="38">
        <f>I176-K2*T176</f>
        <v>0.31048073909151375</v>
      </c>
      <c r="J177" s="40">
        <f>J176-K2*U176</f>
        <v>-0.68024993830732794</v>
      </c>
      <c r="K177" s="40">
        <f>K176-K2*V176</f>
        <v>-0.18207233722301772</v>
      </c>
      <c r="L177" s="40">
        <f>L176-K2*W176</f>
        <v>0.7185758052708825</v>
      </c>
      <c r="M177" s="40">
        <f>M176-K2*X176</f>
        <v>0.65240151016347014</v>
      </c>
      <c r="N177" s="35">
        <f t="shared" si="60"/>
        <v>-2.429689698057131</v>
      </c>
      <c r="O177" s="35">
        <f t="shared" si="61"/>
        <v>8.0936546279178997E-2</v>
      </c>
      <c r="P177" s="36">
        <f t="shared" si="62"/>
        <v>0</v>
      </c>
      <c r="Q177" s="36">
        <f t="shared" si="63"/>
        <v>8.0936546279178997E-2</v>
      </c>
      <c r="R177" s="37">
        <f t="shared" si="64"/>
        <v>6.5507245236016837E-3</v>
      </c>
      <c r="T177" s="31">
        <f t="shared" si="65"/>
        <v>1.2041063010070087E-2</v>
      </c>
      <c r="U177" s="31">
        <f t="shared" si="66"/>
        <v>5.7797102448336413E-2</v>
      </c>
      <c r="V177" s="31">
        <f t="shared" si="67"/>
        <v>3.6123189030210258E-2</v>
      </c>
      <c r="W177" s="31">
        <f t="shared" si="68"/>
        <v>1.6857488214098122E-2</v>
      </c>
      <c r="X177" s="31">
        <f t="shared" si="69"/>
        <v>1.2041063010070087E-3</v>
      </c>
    </row>
    <row r="178" spans="1:24" ht="14.25" customHeight="1" x14ac:dyDescent="0.3">
      <c r="A178" s="2"/>
      <c r="B178" s="38">
        <v>14</v>
      </c>
      <c r="C178" s="10">
        <v>4.3</v>
      </c>
      <c r="D178" s="11">
        <v>3</v>
      </c>
      <c r="E178" s="11">
        <v>1.1000000000000001</v>
      </c>
      <c r="F178" s="11">
        <v>0.1</v>
      </c>
      <c r="G178" s="39">
        <v>0</v>
      </c>
      <c r="I178" s="38">
        <f>I177-K2*T177</f>
        <v>0.30927663279050671</v>
      </c>
      <c r="J178" s="40">
        <f>J177-K2*U177</f>
        <v>-0.68602964855216153</v>
      </c>
      <c r="K178" s="40">
        <f>K177-K2*V177</f>
        <v>-0.18568465612603874</v>
      </c>
      <c r="L178" s="40">
        <f>L177-K2*W177</f>
        <v>0.71689005644947268</v>
      </c>
      <c r="M178" s="40">
        <f>M177-K2*X177</f>
        <v>0.65228109953336944</v>
      </c>
      <c r="N178" s="35">
        <f t="shared" si="60"/>
        <v>-2.3438976523141473</v>
      </c>
      <c r="O178" s="35">
        <f t="shared" si="61"/>
        <v>8.7552043351083464E-2</v>
      </c>
      <c r="P178" s="36">
        <f t="shared" si="62"/>
        <v>0</v>
      </c>
      <c r="Q178" s="36">
        <f t="shared" si="63"/>
        <v>8.7552043351083464E-2</v>
      </c>
      <c r="R178" s="37">
        <f t="shared" si="64"/>
        <v>7.665360294949998E-3</v>
      </c>
      <c r="T178" s="31">
        <f t="shared" si="65"/>
        <v>1.3988484676209723E-2</v>
      </c>
      <c r="U178" s="31">
        <f t="shared" si="66"/>
        <v>6.0150484107701803E-2</v>
      </c>
      <c r="V178" s="31">
        <f t="shared" si="67"/>
        <v>4.1965454028629168E-2</v>
      </c>
      <c r="W178" s="31">
        <f t="shared" si="68"/>
        <v>1.5387333143830697E-2</v>
      </c>
      <c r="X178" s="31">
        <f t="shared" si="69"/>
        <v>1.3988484676209724E-3</v>
      </c>
    </row>
    <row r="179" spans="1:24" ht="14.25" customHeight="1" x14ac:dyDescent="0.3">
      <c r="A179" s="2"/>
      <c r="B179" s="38">
        <v>15</v>
      </c>
      <c r="C179" s="10">
        <v>5.8</v>
      </c>
      <c r="D179" s="11">
        <v>4</v>
      </c>
      <c r="E179" s="11">
        <v>1.2</v>
      </c>
      <c r="F179" s="11">
        <v>0.2</v>
      </c>
      <c r="G179" s="39">
        <v>0</v>
      </c>
      <c r="I179" s="38">
        <f>I178-K2*T178</f>
        <v>0.30787778432288576</v>
      </c>
      <c r="J179" s="40">
        <f>J178-K2*U178</f>
        <v>-0.69204469696293169</v>
      </c>
      <c r="K179" s="40">
        <f>K178-K2*V178</f>
        <v>-0.18988120152890164</v>
      </c>
      <c r="L179" s="40">
        <f>L178-K2*W178</f>
        <v>0.71535132313508965</v>
      </c>
      <c r="M179" s="40">
        <f>M178-K2*X178</f>
        <v>0.65214121468660735</v>
      </c>
      <c r="N179" s="35">
        <f t="shared" si="60"/>
        <v>-3.4766564334782957</v>
      </c>
      <c r="O179" s="35">
        <f t="shared" si="61"/>
        <v>2.9983773913906969E-2</v>
      </c>
      <c r="P179" s="36">
        <f t="shared" si="62"/>
        <v>0</v>
      </c>
      <c r="Q179" s="36">
        <f t="shared" si="63"/>
        <v>2.9983773913906969E-2</v>
      </c>
      <c r="R179" s="37">
        <f t="shared" si="64"/>
        <v>8.9902669812028807E-4</v>
      </c>
      <c r="T179" s="31">
        <f t="shared" si="65"/>
        <v>1.7441409697225661E-3</v>
      </c>
      <c r="U179" s="31">
        <f t="shared" si="66"/>
        <v>1.0116017624390882E-2</v>
      </c>
      <c r="V179" s="31">
        <f t="shared" si="67"/>
        <v>6.9765638788902642E-3</v>
      </c>
      <c r="W179" s="31">
        <f t="shared" si="68"/>
        <v>2.0929691636670791E-3</v>
      </c>
      <c r="X179" s="31">
        <f t="shared" si="69"/>
        <v>3.4882819394451326E-4</v>
      </c>
    </row>
    <row r="180" spans="1:24" ht="14.25" customHeight="1" x14ac:dyDescent="0.3">
      <c r="A180" s="2"/>
      <c r="B180" s="38">
        <v>16</v>
      </c>
      <c r="C180" s="10">
        <v>5.7</v>
      </c>
      <c r="D180" s="11">
        <v>4.4000000000000004</v>
      </c>
      <c r="E180" s="11">
        <v>1.5</v>
      </c>
      <c r="F180" s="11">
        <v>0.4</v>
      </c>
      <c r="G180" s="39">
        <v>0</v>
      </c>
      <c r="I180" s="38">
        <f>I179-K2*T179</f>
        <v>0.30770337022591349</v>
      </c>
      <c r="J180" s="40">
        <f>J179-K2*U179</f>
        <v>-0.69305629872537078</v>
      </c>
      <c r="K180" s="40">
        <f>K179-K2*V179</f>
        <v>-0.19057885791679066</v>
      </c>
      <c r="L180" s="40">
        <f>L179-K2*W179</f>
        <v>0.71514202621872291</v>
      </c>
      <c r="M180" s="40">
        <f>M179-K2*X179</f>
        <v>0.6521063318672129</v>
      </c>
      <c r="N180" s="35">
        <f t="shared" si="60"/>
        <v>-3.1477089352676098</v>
      </c>
      <c r="O180" s="35">
        <f t="shared" si="61"/>
        <v>4.1181647505482991E-2</v>
      </c>
      <c r="P180" s="36">
        <f t="shared" si="62"/>
        <v>0</v>
      </c>
      <c r="Q180" s="36">
        <f t="shared" si="63"/>
        <v>4.1181647505482991E-2</v>
      </c>
      <c r="R180" s="37">
        <f t="shared" si="64"/>
        <v>1.6959280912658534E-3</v>
      </c>
      <c r="T180" s="31">
        <f t="shared" si="65"/>
        <v>3.2521739568333926E-3</v>
      </c>
      <c r="U180" s="31">
        <f t="shared" si="66"/>
        <v>1.8537391553950337E-2</v>
      </c>
      <c r="V180" s="31">
        <f t="shared" si="67"/>
        <v>1.4309565410066928E-2</v>
      </c>
      <c r="W180" s="31">
        <f t="shared" si="68"/>
        <v>4.8782609352500889E-3</v>
      </c>
      <c r="X180" s="31">
        <f t="shared" si="69"/>
        <v>1.3008695827333571E-3</v>
      </c>
    </row>
    <row r="181" spans="1:24" ht="14.25" customHeight="1" x14ac:dyDescent="0.3">
      <c r="A181" s="2"/>
      <c r="B181" s="38">
        <v>17</v>
      </c>
      <c r="C181" s="10">
        <v>5.4</v>
      </c>
      <c r="D181" s="11">
        <v>3.9</v>
      </c>
      <c r="E181" s="11">
        <v>1.3</v>
      </c>
      <c r="F181" s="11">
        <v>0.4</v>
      </c>
      <c r="G181" s="39">
        <v>0</v>
      </c>
      <c r="I181" s="38">
        <f>I180-K2*T180</f>
        <v>0.30737815283023012</v>
      </c>
      <c r="J181" s="40">
        <f>J180-K2*U180</f>
        <v>-0.69491003788076577</v>
      </c>
      <c r="K181" s="40">
        <f>K180-K2*V180</f>
        <v>-0.19200981445779736</v>
      </c>
      <c r="L181" s="40">
        <f>L180-K2*W180</f>
        <v>0.71465420012519787</v>
      </c>
      <c r="M181" s="40">
        <f>M180-K2*X180</f>
        <v>0.65197624490893957</v>
      </c>
      <c r="N181" s="35">
        <f t="shared" si="60"/>
        <v>-3.0041333699849817</v>
      </c>
      <c r="O181" s="35">
        <f t="shared" si="61"/>
        <v>4.7239490251968171E-2</v>
      </c>
      <c r="P181" s="36">
        <f t="shared" si="62"/>
        <v>0</v>
      </c>
      <c r="Q181" s="36">
        <f t="shared" si="63"/>
        <v>4.7239490251968171E-2</v>
      </c>
      <c r="R181" s="37">
        <f t="shared" si="64"/>
        <v>2.2315694392657957E-3</v>
      </c>
      <c r="T181" s="31">
        <f t="shared" si="65"/>
        <v>4.2523024729860187E-3</v>
      </c>
      <c r="U181" s="31">
        <f t="shared" si="66"/>
        <v>2.2962433354124501E-2</v>
      </c>
      <c r="V181" s="31">
        <f t="shared" si="67"/>
        <v>1.6583979644645471E-2</v>
      </c>
      <c r="W181" s="31">
        <f t="shared" si="68"/>
        <v>5.5279932148818243E-3</v>
      </c>
      <c r="X181" s="31">
        <f t="shared" si="69"/>
        <v>1.7009209891944077E-3</v>
      </c>
    </row>
    <row r="182" spans="1:24" ht="14.25" customHeight="1" x14ac:dyDescent="0.3">
      <c r="A182" s="2"/>
      <c r="B182" s="38">
        <v>18</v>
      </c>
      <c r="C182" s="10">
        <v>5.0999999999999996</v>
      </c>
      <c r="D182" s="11">
        <v>3.5</v>
      </c>
      <c r="E182" s="11">
        <v>1.4</v>
      </c>
      <c r="F182" s="11">
        <v>0.3</v>
      </c>
      <c r="G182" s="39">
        <v>0</v>
      </c>
      <c r="I182" s="38">
        <f>I181-K2*T181</f>
        <v>0.3069529225829315</v>
      </c>
      <c r="J182" s="40">
        <f>J181-K2*U181</f>
        <v>-0.69720628121617823</v>
      </c>
      <c r="K182" s="40">
        <f>K181-K2*V181</f>
        <v>-0.1936682124222619</v>
      </c>
      <c r="L182" s="40">
        <f>L181-K2*W181</f>
        <v>0.71410140080370965</v>
      </c>
      <c r="M182" s="40">
        <f>M181-K2*X181</f>
        <v>0.65180615281002008</v>
      </c>
      <c r="N182" s="35">
        <f t="shared" si="60"/>
        <v>-2.7313540481292948</v>
      </c>
      <c r="O182" s="35">
        <f t="shared" si="61"/>
        <v>6.1148381715001331E-2</v>
      </c>
      <c r="P182" s="36">
        <f t="shared" si="62"/>
        <v>0</v>
      </c>
      <c r="Q182" s="36">
        <f t="shared" si="63"/>
        <v>6.1148381715001331E-2</v>
      </c>
      <c r="R182" s="37">
        <f t="shared" si="64"/>
        <v>3.7391245863635089E-3</v>
      </c>
      <c r="T182" s="31">
        <f t="shared" si="65"/>
        <v>7.0209663377532134E-3</v>
      </c>
      <c r="U182" s="31">
        <f t="shared" si="66"/>
        <v>3.5806928322541384E-2</v>
      </c>
      <c r="V182" s="31">
        <f t="shared" si="67"/>
        <v>2.4573382182136248E-2</v>
      </c>
      <c r="W182" s="31">
        <f t="shared" si="68"/>
        <v>9.8293528728544983E-3</v>
      </c>
      <c r="X182" s="31">
        <f t="shared" si="69"/>
        <v>2.1062899013259639E-3</v>
      </c>
    </row>
    <row r="183" spans="1:24" ht="14.25" customHeight="1" x14ac:dyDescent="0.3">
      <c r="A183" s="2"/>
      <c r="B183" s="38">
        <v>19</v>
      </c>
      <c r="C183" s="10">
        <v>5.7</v>
      </c>
      <c r="D183" s="11">
        <v>3.8</v>
      </c>
      <c r="E183" s="11">
        <v>1.7</v>
      </c>
      <c r="F183" s="11">
        <v>0.3</v>
      </c>
      <c r="G183" s="39">
        <v>0</v>
      </c>
      <c r="I183" s="38">
        <f>I182-K2*T182</f>
        <v>0.3062508259491562</v>
      </c>
      <c r="J183" s="40">
        <f>J182-K2*U182</f>
        <v>-0.70078697404843238</v>
      </c>
      <c r="K183" s="40">
        <f>K182-K2*V182</f>
        <v>-0.19612555064047552</v>
      </c>
      <c r="L183" s="40">
        <f>L182-K2*W182</f>
        <v>0.71311846551642422</v>
      </c>
      <c r="M183" s="40">
        <f>M182-K2*X182</f>
        <v>0.6515955238198875</v>
      </c>
      <c r="N183" s="35">
        <f t="shared" si="60"/>
        <v>-3.0257319700368277</v>
      </c>
      <c r="O183" s="35">
        <f t="shared" si="61"/>
        <v>4.6276833408818663E-2</v>
      </c>
      <c r="P183" s="36">
        <f t="shared" si="62"/>
        <v>0</v>
      </c>
      <c r="Q183" s="36">
        <f t="shared" si="63"/>
        <v>4.6276833408818663E-2</v>
      </c>
      <c r="R183" s="37">
        <f t="shared" si="64"/>
        <v>2.1415453103475553E-3</v>
      </c>
      <c r="T183" s="31">
        <f t="shared" si="65"/>
        <v>4.0848827495663289E-3</v>
      </c>
      <c r="U183" s="31">
        <f t="shared" si="66"/>
        <v>2.3283831672528076E-2</v>
      </c>
      <c r="V183" s="31">
        <f t="shared" si="67"/>
        <v>1.5522554448352049E-2</v>
      </c>
      <c r="W183" s="31">
        <f t="shared" si="68"/>
        <v>6.9443006742627589E-3</v>
      </c>
      <c r="X183" s="31">
        <f t="shared" si="69"/>
        <v>1.2254648248698986E-3</v>
      </c>
    </row>
    <row r="184" spans="1:24" ht="14.25" customHeight="1" x14ac:dyDescent="0.3">
      <c r="A184" s="2"/>
      <c r="B184" s="38">
        <v>20</v>
      </c>
      <c r="C184" s="10">
        <v>5.0999999999999996</v>
      </c>
      <c r="D184" s="11">
        <v>3.8</v>
      </c>
      <c r="E184" s="11">
        <v>1.5</v>
      </c>
      <c r="F184" s="11">
        <v>0.3</v>
      </c>
      <c r="G184" s="39">
        <v>0</v>
      </c>
      <c r="I184" s="38">
        <f>I183-K2*T183</f>
        <v>0.30584233767419955</v>
      </c>
      <c r="J184" s="40">
        <f>J183-K2*U183</f>
        <v>-0.70311535721568519</v>
      </c>
      <c r="K184" s="40">
        <f>K183-K2*V183</f>
        <v>-0.19767780608531071</v>
      </c>
      <c r="L184" s="40">
        <f>L183-K2*W183</f>
        <v>0.71242403544899791</v>
      </c>
      <c r="M184" s="40">
        <f>M183-K2*X183</f>
        <v>0.65147297733740051</v>
      </c>
      <c r="N184" s="35">
        <f t="shared" si="60"/>
        <v>-2.7671437008752586</v>
      </c>
      <c r="O184" s="35">
        <f t="shared" si="61"/>
        <v>5.912570903569999E-2</v>
      </c>
      <c r="P184" s="36">
        <f t="shared" si="62"/>
        <v>0</v>
      </c>
      <c r="Q184" s="36">
        <f t="shared" si="63"/>
        <v>5.912570903569999E-2</v>
      </c>
      <c r="R184" s="37">
        <f t="shared" si="64"/>
        <v>3.4958494689742554E-3</v>
      </c>
      <c r="T184" s="31">
        <f t="shared" si="65"/>
        <v>6.5783097808781547E-3</v>
      </c>
      <c r="U184" s="31">
        <f t="shared" si="66"/>
        <v>3.3549379882478587E-2</v>
      </c>
      <c r="V184" s="31">
        <f t="shared" si="67"/>
        <v>2.4997577167336988E-2</v>
      </c>
      <c r="W184" s="31">
        <f t="shared" si="68"/>
        <v>9.8674646713172321E-3</v>
      </c>
      <c r="X184" s="31">
        <f t="shared" si="69"/>
        <v>1.9734929342634464E-3</v>
      </c>
    </row>
    <row r="185" spans="1:24" ht="14.25" customHeight="1" x14ac:dyDescent="0.3">
      <c r="A185" s="2"/>
      <c r="B185" s="38">
        <v>21</v>
      </c>
      <c r="C185" s="10">
        <v>5.4</v>
      </c>
      <c r="D185" s="11">
        <v>3.4</v>
      </c>
      <c r="E185" s="11">
        <v>1.7</v>
      </c>
      <c r="F185" s="11">
        <v>0.2</v>
      </c>
      <c r="G185" s="39">
        <v>0</v>
      </c>
      <c r="I185" s="38">
        <f>I184-K2*T184</f>
        <v>0.30518450669611175</v>
      </c>
      <c r="J185" s="40">
        <f>J184-K2*U184</f>
        <v>-0.70647029520393301</v>
      </c>
      <c r="K185" s="40">
        <f>K184-K2*V184</f>
        <v>-0.20017756380204441</v>
      </c>
      <c r="L185" s="40">
        <f>L184-K2*W184</f>
        <v>0.7114372889818662</v>
      </c>
      <c r="M185" s="40">
        <f>M184-K2*X184</f>
        <v>0.65127562804397421</v>
      </c>
      <c r="N185" s="35">
        <f t="shared" si="60"/>
        <v>-2.8506602874541098</v>
      </c>
      <c r="O185" s="35">
        <f t="shared" si="61"/>
        <v>5.4647196152509139E-2</v>
      </c>
      <c r="P185" s="36">
        <f t="shared" si="62"/>
        <v>0</v>
      </c>
      <c r="Q185" s="36">
        <f t="shared" si="63"/>
        <v>5.4647196152509139E-2</v>
      </c>
      <c r="R185" s="37">
        <f t="shared" si="64"/>
        <v>2.9863160473308096E-3</v>
      </c>
      <c r="T185" s="31">
        <f t="shared" si="65"/>
        <v>5.6462444970378743E-3</v>
      </c>
      <c r="U185" s="31">
        <f t="shared" si="66"/>
        <v>3.0489720284004523E-2</v>
      </c>
      <c r="V185" s="31">
        <f t="shared" si="67"/>
        <v>1.9197231289928771E-2</v>
      </c>
      <c r="W185" s="31">
        <f t="shared" si="68"/>
        <v>9.5986156449643853E-3</v>
      </c>
      <c r="X185" s="31">
        <f t="shared" si="69"/>
        <v>1.1292488994075749E-3</v>
      </c>
    </row>
    <row r="186" spans="1:24" ht="14.25" customHeight="1" x14ac:dyDescent="0.3">
      <c r="A186" s="2"/>
      <c r="B186" s="38">
        <v>22</v>
      </c>
      <c r="C186" s="10">
        <v>5.0999999999999996</v>
      </c>
      <c r="D186" s="11">
        <v>3.7</v>
      </c>
      <c r="E186" s="11">
        <v>1.5</v>
      </c>
      <c r="F186" s="11">
        <v>0.4</v>
      </c>
      <c r="G186" s="39">
        <v>0</v>
      </c>
      <c r="I186" s="38">
        <f>I185-K2*T185</f>
        <v>0.30461988224640796</v>
      </c>
      <c r="J186" s="40">
        <f>J185-K2*U185</f>
        <v>-0.70951926723233349</v>
      </c>
      <c r="K186" s="40">
        <f>K185-K2*V185</f>
        <v>-0.20209728693103729</v>
      </c>
      <c r="L186" s="40">
        <f>L185-K2*W185</f>
        <v>0.71047742741736974</v>
      </c>
      <c r="M186" s="40">
        <f>M185-K2*X185</f>
        <v>0.65116270315403346</v>
      </c>
      <c r="N186" s="35">
        <f t="shared" si="60"/>
        <v>-2.7355071198956629</v>
      </c>
      <c r="O186" s="35">
        <f t="shared" si="61"/>
        <v>6.0910391049730027E-2</v>
      </c>
      <c r="P186" s="36">
        <f t="shared" si="62"/>
        <v>0</v>
      </c>
      <c r="Q186" s="36">
        <f t="shared" si="63"/>
        <v>6.0910391049730027E-2</v>
      </c>
      <c r="R186" s="37">
        <f t="shared" si="64"/>
        <v>3.7100757378310317E-3</v>
      </c>
      <c r="T186" s="31">
        <f t="shared" si="65"/>
        <v>6.968187147631256E-3</v>
      </c>
      <c r="U186" s="31">
        <f t="shared" si="66"/>
        <v>3.5537754452919401E-2</v>
      </c>
      <c r="V186" s="31">
        <f t="shared" si="67"/>
        <v>2.5782292446235647E-2</v>
      </c>
      <c r="W186" s="31">
        <f t="shared" si="68"/>
        <v>1.0452280721446884E-2</v>
      </c>
      <c r="X186" s="31">
        <f t="shared" si="69"/>
        <v>2.7872748590525025E-3</v>
      </c>
    </row>
    <row r="187" spans="1:24" ht="14.25" customHeight="1" x14ac:dyDescent="0.3">
      <c r="A187" s="2"/>
      <c r="B187" s="38">
        <v>23</v>
      </c>
      <c r="C187" s="10">
        <v>4.5999999999999996</v>
      </c>
      <c r="D187" s="11">
        <v>3.6</v>
      </c>
      <c r="E187" s="11">
        <v>1</v>
      </c>
      <c r="F187" s="11">
        <v>0.2</v>
      </c>
      <c r="G187" s="39">
        <v>0</v>
      </c>
      <c r="I187" s="38">
        <f>I186-K2*T186</f>
        <v>0.30392306353164483</v>
      </c>
      <c r="J187" s="40">
        <f>J186-K2*U186</f>
        <v>-0.71307304267762539</v>
      </c>
      <c r="K187" s="40">
        <f>K186-K2*V186</f>
        <v>-0.20467551617566085</v>
      </c>
      <c r="L187" s="40">
        <f>L186-K2*W186</f>
        <v>0.70943219934522506</v>
      </c>
      <c r="M187" s="40">
        <f>M186-K2*X186</f>
        <v>0.65088397566812817</v>
      </c>
      <c r="N187" s="35">
        <f t="shared" si="60"/>
        <v>-2.8734357965389594</v>
      </c>
      <c r="O187" s="35">
        <f t="shared" si="61"/>
        <v>5.3482457756952907E-2</v>
      </c>
      <c r="P187" s="36">
        <f t="shared" si="62"/>
        <v>0</v>
      </c>
      <c r="Q187" s="36">
        <f t="shared" si="63"/>
        <v>5.3482457756952907E-2</v>
      </c>
      <c r="R187" s="37">
        <f t="shared" si="64"/>
        <v>2.8603732877242522E-3</v>
      </c>
      <c r="T187" s="31">
        <f t="shared" si="65"/>
        <v>5.4147869883888469E-3</v>
      </c>
      <c r="U187" s="31">
        <f t="shared" si="66"/>
        <v>2.4908020146588692E-2</v>
      </c>
      <c r="V187" s="31">
        <f t="shared" si="67"/>
        <v>1.9493233158199848E-2</v>
      </c>
      <c r="W187" s="31">
        <f t="shared" si="68"/>
        <v>5.4147869883888469E-3</v>
      </c>
      <c r="X187" s="31">
        <f t="shared" si="69"/>
        <v>1.0829573976777695E-3</v>
      </c>
    </row>
    <row r="188" spans="1:24" ht="14.25" customHeight="1" x14ac:dyDescent="0.3">
      <c r="A188" s="2"/>
      <c r="B188" s="38">
        <v>24</v>
      </c>
      <c r="C188" s="10">
        <v>5.0999999999999996</v>
      </c>
      <c r="D188" s="11">
        <v>3.3</v>
      </c>
      <c r="E188" s="11">
        <v>1.7</v>
      </c>
      <c r="F188" s="11">
        <v>0.5</v>
      </c>
      <c r="G188" s="39">
        <v>0</v>
      </c>
      <c r="I188" s="38">
        <f>I187-K2*T187</f>
        <v>0.30338158483280597</v>
      </c>
      <c r="J188" s="40">
        <f>J187-K2*U187</f>
        <v>-0.71556384469228429</v>
      </c>
      <c r="K188" s="40">
        <f>K187-K2*V187</f>
        <v>-0.20662483949148083</v>
      </c>
      <c r="L188" s="40">
        <f>L187-K2*W187</f>
        <v>0.70889072064638614</v>
      </c>
      <c r="M188" s="40">
        <f>M187-K2*X187</f>
        <v>0.65077567992836038</v>
      </c>
      <c r="N188" s="35">
        <f t="shared" si="60"/>
        <v>-2.4973539283566937</v>
      </c>
      <c r="O188" s="35">
        <f t="shared" si="61"/>
        <v>7.6043887790948839E-2</v>
      </c>
      <c r="P188" s="36">
        <f t="shared" si="62"/>
        <v>0</v>
      </c>
      <c r="Q188" s="36">
        <f t="shared" si="63"/>
        <v>7.6043887790948839E-2</v>
      </c>
      <c r="R188" s="37">
        <f t="shared" si="64"/>
        <v>5.7826728703624175E-3</v>
      </c>
      <c r="T188" s="31">
        <f t="shared" si="65"/>
        <v>1.0685871886953628E-2</v>
      </c>
      <c r="U188" s="31">
        <f t="shared" si="66"/>
        <v>5.4497946623463502E-2</v>
      </c>
      <c r="V188" s="31">
        <f t="shared" si="67"/>
        <v>3.5263377226946974E-2</v>
      </c>
      <c r="W188" s="31">
        <f t="shared" si="68"/>
        <v>1.8165982207821167E-2</v>
      </c>
      <c r="X188" s="31">
        <f t="shared" si="69"/>
        <v>5.3429359434768141E-3</v>
      </c>
    </row>
    <row r="189" spans="1:24" ht="14.25" customHeight="1" x14ac:dyDescent="0.3">
      <c r="A189" s="2"/>
      <c r="B189" s="38">
        <v>25</v>
      </c>
      <c r="C189" s="10">
        <v>4.8</v>
      </c>
      <c r="D189" s="11">
        <v>3.4</v>
      </c>
      <c r="E189" s="11">
        <v>1.9</v>
      </c>
      <c r="F189" s="11">
        <v>0.2</v>
      </c>
      <c r="G189" s="39">
        <v>0</v>
      </c>
      <c r="I189" s="38">
        <f>I188-K2*T188</f>
        <v>0.30231299764411063</v>
      </c>
      <c r="J189" s="40">
        <f>J188-K2*U188</f>
        <v>-0.72101363935463059</v>
      </c>
      <c r="K189" s="40">
        <f>K188-K2*V188</f>
        <v>-0.21015117721417553</v>
      </c>
      <c r="L189" s="40">
        <f>L188-K2*W188</f>
        <v>0.70707412242560408</v>
      </c>
      <c r="M189" s="40">
        <f>M188-K2*X188</f>
        <v>0.65024138633401274</v>
      </c>
      <c r="N189" s="35">
        <f t="shared" si="60"/>
        <v>-2.3995773639108626</v>
      </c>
      <c r="O189" s="35">
        <f t="shared" si="61"/>
        <v>8.3204930286525744E-2</v>
      </c>
      <c r="P189" s="36">
        <f t="shared" si="62"/>
        <v>0</v>
      </c>
      <c r="Q189" s="36">
        <f t="shared" si="63"/>
        <v>8.3204930286525744E-2</v>
      </c>
      <c r="R189" s="37">
        <f t="shared" si="64"/>
        <v>6.9230604239856088E-3</v>
      </c>
      <c r="T189" s="31">
        <f t="shared" si="65"/>
        <v>1.2694055328076962E-2</v>
      </c>
      <c r="U189" s="31">
        <f t="shared" si="66"/>
        <v>6.0931465574769417E-2</v>
      </c>
      <c r="V189" s="31">
        <f t="shared" si="67"/>
        <v>4.3159788115461672E-2</v>
      </c>
      <c r="W189" s="31">
        <f t="shared" si="68"/>
        <v>2.4118705123346226E-2</v>
      </c>
      <c r="X189" s="31">
        <f t="shared" si="69"/>
        <v>2.5388110656153927E-3</v>
      </c>
    </row>
    <row r="190" spans="1:24" ht="14.25" customHeight="1" x14ac:dyDescent="0.3">
      <c r="A190" s="2"/>
      <c r="B190" s="38">
        <v>26</v>
      </c>
      <c r="C190" s="10">
        <v>5</v>
      </c>
      <c r="D190" s="11">
        <v>3</v>
      </c>
      <c r="E190" s="11">
        <v>1.6</v>
      </c>
      <c r="F190" s="11">
        <v>0.2</v>
      </c>
      <c r="G190" s="39">
        <v>0</v>
      </c>
      <c r="I190" s="38">
        <f>I189-K2*T189</f>
        <v>0.30104359211130294</v>
      </c>
      <c r="J190" s="40">
        <f>J189-K2*U189</f>
        <v>-0.72710678591210753</v>
      </c>
      <c r="K190" s="40">
        <f>K189-K2*V189</f>
        <v>-0.21446715602572169</v>
      </c>
      <c r="L190" s="40">
        <f>L189-K2*W189</f>
        <v>0.70466225191326948</v>
      </c>
      <c r="M190" s="40">
        <f>M189-K2*X189</f>
        <v>0.64998750522745119</v>
      </c>
      <c r="N190" s="35">
        <f t="shared" si="60"/>
        <v>-2.7204347014196784</v>
      </c>
      <c r="O190" s="35">
        <f t="shared" si="61"/>
        <v>6.1778265425127148E-2</v>
      </c>
      <c r="P190" s="36">
        <f t="shared" si="62"/>
        <v>0</v>
      </c>
      <c r="Q190" s="36">
        <f t="shared" si="63"/>
        <v>6.1778265425127148E-2</v>
      </c>
      <c r="R190" s="37">
        <f t="shared" si="64"/>
        <v>3.8165540789374605E-3</v>
      </c>
      <c r="T190" s="31">
        <f t="shared" si="65"/>
        <v>7.1615479760790204E-3</v>
      </c>
      <c r="U190" s="31">
        <f t="shared" si="66"/>
        <v>3.5807739880395102E-2</v>
      </c>
      <c r="V190" s="31">
        <f t="shared" si="67"/>
        <v>2.1484643928237061E-2</v>
      </c>
      <c r="W190" s="31">
        <f t="shared" si="68"/>
        <v>1.1458476761726434E-2</v>
      </c>
      <c r="X190" s="31">
        <f t="shared" si="69"/>
        <v>1.4323095952158043E-3</v>
      </c>
    </row>
    <row r="191" spans="1:24" ht="14.25" customHeight="1" x14ac:dyDescent="0.3">
      <c r="A191" s="2"/>
      <c r="B191" s="38">
        <v>27</v>
      </c>
      <c r="C191" s="10">
        <v>5</v>
      </c>
      <c r="D191" s="11">
        <v>3.4</v>
      </c>
      <c r="E191" s="11">
        <v>1.6</v>
      </c>
      <c r="F191" s="11">
        <v>0.4</v>
      </c>
      <c r="G191" s="39">
        <v>0</v>
      </c>
      <c r="I191" s="38">
        <f>I190-K2*T190</f>
        <v>0.30032743731369504</v>
      </c>
      <c r="J191" s="40">
        <f>J190-K2*U190</f>
        <v>-0.730687559900147</v>
      </c>
      <c r="K191" s="40">
        <f>K190-K2*V190</f>
        <v>-0.2166156204185454</v>
      </c>
      <c r="L191" s="40">
        <f>L190-K2*W190</f>
        <v>0.70351640423709683</v>
      </c>
      <c r="M191" s="40">
        <f>M190-K2*X190</f>
        <v>0.64984427426792957</v>
      </c>
      <c r="N191" s="35">
        <f t="shared" si="60"/>
        <v>-2.7040395151235677</v>
      </c>
      <c r="O191" s="35">
        <f t="shared" si="61"/>
        <v>6.2735413890892877E-2</v>
      </c>
      <c r="P191" s="36">
        <f t="shared" si="62"/>
        <v>0</v>
      </c>
      <c r="Q191" s="36">
        <f t="shared" si="63"/>
        <v>6.2735413890892877E-2</v>
      </c>
      <c r="R191" s="37">
        <f t="shared" si="64"/>
        <v>3.9357321560616349E-3</v>
      </c>
      <c r="T191" s="31">
        <f t="shared" si="65"/>
        <v>7.3776447405748246E-3</v>
      </c>
      <c r="U191" s="31">
        <f t="shared" si="66"/>
        <v>3.6888223702874125E-2</v>
      </c>
      <c r="V191" s="31">
        <f t="shared" si="67"/>
        <v>2.5083992117954403E-2</v>
      </c>
      <c r="W191" s="31">
        <f t="shared" si="68"/>
        <v>1.180423158491972E-2</v>
      </c>
      <c r="X191" s="31">
        <f t="shared" si="69"/>
        <v>2.9510578962299301E-3</v>
      </c>
    </row>
    <row r="192" spans="1:24" ht="14.25" customHeight="1" x14ac:dyDescent="0.3">
      <c r="A192" s="2"/>
      <c r="B192" s="38">
        <v>28</v>
      </c>
      <c r="C192" s="10">
        <v>5.2</v>
      </c>
      <c r="D192" s="11">
        <v>3.5</v>
      </c>
      <c r="E192" s="11">
        <v>1.5</v>
      </c>
      <c r="F192" s="11">
        <v>0.2</v>
      </c>
      <c r="G192" s="39">
        <v>0</v>
      </c>
      <c r="I192" s="38">
        <f>I191-K2*T191</f>
        <v>0.29958967283963756</v>
      </c>
      <c r="J192" s="40">
        <f>J191-K2*U191</f>
        <v>-0.73437638227043445</v>
      </c>
      <c r="K192" s="40">
        <f>K191-K2*V191</f>
        <v>-0.21912401963034084</v>
      </c>
      <c r="L192" s="40">
        <f>L191-K2*W191</f>
        <v>0.70233598107860484</v>
      </c>
      <c r="M192" s="40">
        <f>M191-K2*X191</f>
        <v>0.64954916847830657</v>
      </c>
      <c r="N192" s="35">
        <f t="shared" si="60"/>
        <v>-3.1026877783592459</v>
      </c>
      <c r="O192" s="35">
        <f t="shared" si="61"/>
        <v>4.299652276779814E-2</v>
      </c>
      <c r="P192" s="36">
        <f t="shared" si="62"/>
        <v>0</v>
      </c>
      <c r="Q192" s="36">
        <f t="shared" si="63"/>
        <v>4.299652276779814E-2</v>
      </c>
      <c r="R192" s="37">
        <f t="shared" si="64"/>
        <v>1.8487009701217839E-3</v>
      </c>
      <c r="T192" s="31">
        <f t="shared" si="65"/>
        <v>3.5384265135381841E-3</v>
      </c>
      <c r="U192" s="31">
        <f t="shared" si="66"/>
        <v>1.8399817870398558E-2</v>
      </c>
      <c r="V192" s="31">
        <f t="shared" si="67"/>
        <v>1.2384492797383644E-2</v>
      </c>
      <c r="W192" s="31">
        <f t="shared" si="68"/>
        <v>5.3076397703072757E-3</v>
      </c>
      <c r="X192" s="31">
        <f t="shared" si="69"/>
        <v>7.0768530270763684E-4</v>
      </c>
    </row>
    <row r="193" spans="1:24" ht="14.25" customHeight="1" x14ac:dyDescent="0.3">
      <c r="A193" s="2"/>
      <c r="B193" s="38">
        <v>29</v>
      </c>
      <c r="C193" s="10">
        <v>5.2</v>
      </c>
      <c r="D193" s="11">
        <v>3.4</v>
      </c>
      <c r="E193" s="11">
        <v>1.4</v>
      </c>
      <c r="F193" s="11">
        <v>0.2</v>
      </c>
      <c r="G193" s="39">
        <v>0</v>
      </c>
      <c r="I193" s="38">
        <f>I192-K2*T192</f>
        <v>0.29923583018828376</v>
      </c>
      <c r="J193" s="40">
        <f>J192-K2*U192</f>
        <v>-0.73621636405747426</v>
      </c>
      <c r="K193" s="40">
        <f>K192-K2*V192</f>
        <v>-0.22036246891007921</v>
      </c>
      <c r="L193" s="40">
        <f>L192-K2*W192</f>
        <v>0.70180521710157406</v>
      </c>
      <c r="M193" s="40">
        <f>M192-K2*X192</f>
        <v>0.6494783999480358</v>
      </c>
      <c r="N193" s="35">
        <f t="shared" si="60"/>
        <v>-3.1658986732730416</v>
      </c>
      <c r="O193" s="35">
        <f t="shared" si="61"/>
        <v>4.0469376712501288E-2</v>
      </c>
      <c r="P193" s="36">
        <f t="shared" si="62"/>
        <v>0</v>
      </c>
      <c r="Q193" s="36">
        <f t="shared" si="63"/>
        <v>4.0469376712501288E-2</v>
      </c>
      <c r="R193" s="37">
        <f t="shared" si="64"/>
        <v>1.6377704514983415E-3</v>
      </c>
      <c r="T193" s="31">
        <f t="shared" si="65"/>
        <v>3.1429818042561035E-3</v>
      </c>
      <c r="U193" s="31">
        <f t="shared" si="66"/>
        <v>1.6343505382131741E-2</v>
      </c>
      <c r="V193" s="31">
        <f t="shared" si="67"/>
        <v>1.0686138134470752E-2</v>
      </c>
      <c r="W193" s="31">
        <f t="shared" si="68"/>
        <v>4.4001745259585447E-3</v>
      </c>
      <c r="X193" s="31">
        <f t="shared" si="69"/>
        <v>6.285963608512208E-4</v>
      </c>
    </row>
    <row r="194" spans="1:24" ht="14.25" customHeight="1" x14ac:dyDescent="0.3">
      <c r="A194" s="2"/>
      <c r="B194" s="38">
        <v>30</v>
      </c>
      <c r="C194" s="10">
        <v>4.7</v>
      </c>
      <c r="D194" s="11">
        <v>3.2</v>
      </c>
      <c r="E194" s="11">
        <v>1.6</v>
      </c>
      <c r="F194" s="11">
        <v>0.2</v>
      </c>
      <c r="G194" s="39">
        <v>0</v>
      </c>
      <c r="I194" s="38">
        <f>I193-K2*T193</f>
        <v>0.29892153200785815</v>
      </c>
      <c r="J194" s="40">
        <f>J193-K2*U193</f>
        <v>-0.73785071459568741</v>
      </c>
      <c r="K194" s="40">
        <f>K193-K2*V193</f>
        <v>-0.2214310827235263</v>
      </c>
      <c r="L194" s="40">
        <f>L193-K2*W193</f>
        <v>0.70136519964897825</v>
      </c>
      <c r="M194" s="40">
        <f>M193-K2*X193</f>
        <v>0.6494155403119507</v>
      </c>
      <c r="N194" s="35">
        <f t="shared" si="60"/>
        <v>-2.6254888638064018</v>
      </c>
      <c r="O194" s="35">
        <f t="shared" si="61"/>
        <v>6.7515906984044666E-2</v>
      </c>
      <c r="P194" s="36">
        <f t="shared" si="62"/>
        <v>0</v>
      </c>
      <c r="Q194" s="36">
        <f t="shared" si="63"/>
        <v>6.7515906984044666E-2</v>
      </c>
      <c r="R194" s="37">
        <f t="shared" si="64"/>
        <v>4.5583976958781715E-3</v>
      </c>
      <c r="T194" s="31">
        <f t="shared" si="65"/>
        <v>8.5012666820939546E-3</v>
      </c>
      <c r="U194" s="31">
        <f t="shared" si="66"/>
        <v>3.9955953405841585E-2</v>
      </c>
      <c r="V194" s="31">
        <f t="shared" si="67"/>
        <v>2.7204053382700655E-2</v>
      </c>
      <c r="W194" s="31">
        <f t="shared" si="68"/>
        <v>1.3602026691350327E-2</v>
      </c>
      <c r="X194" s="31">
        <f t="shared" si="69"/>
        <v>1.7002533364187909E-3</v>
      </c>
    </row>
    <row r="195" spans="1:24" ht="14.25" customHeight="1" x14ac:dyDescent="0.3">
      <c r="A195" s="2"/>
      <c r="B195" s="38">
        <v>31</v>
      </c>
      <c r="C195" s="10">
        <v>4.8</v>
      </c>
      <c r="D195" s="11">
        <v>3.1</v>
      </c>
      <c r="E195" s="11">
        <v>1.6</v>
      </c>
      <c r="F195" s="11">
        <v>0.2</v>
      </c>
      <c r="G195" s="39">
        <v>0</v>
      </c>
      <c r="I195" s="38">
        <f>I194-K2*T194</f>
        <v>0.29807140533964877</v>
      </c>
      <c r="J195" s="40">
        <f>J194-K2*U194</f>
        <v>-0.74184630993627154</v>
      </c>
      <c r="K195" s="40">
        <f>K194-K2*V194</f>
        <v>-0.22415148806179636</v>
      </c>
      <c r="L195" s="40">
        <f>L194-K2*W194</f>
        <v>0.7000049969798432</v>
      </c>
      <c r="M195" s="40">
        <f>M194-K2*X194</f>
        <v>0.64924551497830885</v>
      </c>
      <c r="N195" s="35">
        <f t="shared" si="60"/>
        <v>-2.7078033971826123</v>
      </c>
      <c r="O195" s="35">
        <f t="shared" si="61"/>
        <v>6.2514462728728459E-2</v>
      </c>
      <c r="P195" s="36">
        <f t="shared" si="62"/>
        <v>0</v>
      </c>
      <c r="Q195" s="36">
        <f t="shared" si="63"/>
        <v>6.2514462728728459E-2</v>
      </c>
      <c r="R195" s="37">
        <f t="shared" si="64"/>
        <v>3.9080580502615795E-3</v>
      </c>
      <c r="T195" s="31">
        <f t="shared" si="65"/>
        <v>7.3274958018735899E-3</v>
      </c>
      <c r="U195" s="31">
        <f t="shared" si="66"/>
        <v>3.5171979848993229E-2</v>
      </c>
      <c r="V195" s="31">
        <f t="shared" si="67"/>
        <v>2.2715236985808129E-2</v>
      </c>
      <c r="W195" s="31">
        <f t="shared" si="68"/>
        <v>1.1723993282997745E-2</v>
      </c>
      <c r="X195" s="31">
        <f t="shared" si="69"/>
        <v>1.4654991603747182E-3</v>
      </c>
    </row>
    <row r="196" spans="1:24" ht="14.25" customHeight="1" x14ac:dyDescent="0.3">
      <c r="A196" s="2"/>
      <c r="B196" s="38">
        <v>32</v>
      </c>
      <c r="C196" s="10">
        <v>5.4</v>
      </c>
      <c r="D196" s="11">
        <v>3.4</v>
      </c>
      <c r="E196" s="11">
        <v>1.5</v>
      </c>
      <c r="F196" s="11">
        <v>0.4</v>
      </c>
      <c r="G196" s="39">
        <v>0</v>
      </c>
      <c r="I196" s="38">
        <f>I195-K2*T195</f>
        <v>0.29733865575946139</v>
      </c>
      <c r="J196" s="40">
        <f>J195-K2*U195</f>
        <v>-0.7453635079211709</v>
      </c>
      <c r="K196" s="40">
        <f>K195-K2*V195</f>
        <v>-0.22642301176037716</v>
      </c>
      <c r="L196" s="40">
        <f>L195-K2*W195</f>
        <v>0.69883259765154337</v>
      </c>
      <c r="M196" s="40">
        <f>M195-K2*X195</f>
        <v>0.64909896506227138</v>
      </c>
      <c r="N196" s="35">
        <f t="shared" si="60"/>
        <v>-3.1895740444979199</v>
      </c>
      <c r="O196" s="35">
        <f t="shared" si="61"/>
        <v>3.9559960543730018E-2</v>
      </c>
      <c r="P196" s="36">
        <f t="shared" si="62"/>
        <v>0</v>
      </c>
      <c r="Q196" s="36">
        <f t="shared" si="63"/>
        <v>3.9559960543730018E-2</v>
      </c>
      <c r="R196" s="37">
        <f t="shared" si="64"/>
        <v>1.5649904782214757E-3</v>
      </c>
      <c r="T196" s="31">
        <f t="shared" si="65"/>
        <v>3.006159033303442E-3</v>
      </c>
      <c r="U196" s="31">
        <f t="shared" si="66"/>
        <v>1.6233258779838586E-2</v>
      </c>
      <c r="V196" s="31">
        <f t="shared" si="67"/>
        <v>1.0220940713231702E-2</v>
      </c>
      <c r="W196" s="31">
        <f t="shared" si="68"/>
        <v>4.5092385499551635E-3</v>
      </c>
      <c r="X196" s="31">
        <f t="shared" si="69"/>
        <v>1.2024636133213769E-3</v>
      </c>
    </row>
    <row r="197" spans="1:24" ht="14.25" customHeight="1" x14ac:dyDescent="0.3">
      <c r="A197" s="2"/>
      <c r="B197" s="38">
        <v>33</v>
      </c>
      <c r="C197" s="10">
        <v>5.2</v>
      </c>
      <c r="D197" s="11">
        <v>4.0999999999999996</v>
      </c>
      <c r="E197" s="11">
        <v>1.5</v>
      </c>
      <c r="F197" s="11">
        <v>0.1</v>
      </c>
      <c r="G197" s="39">
        <v>0</v>
      </c>
      <c r="I197" s="38">
        <f>I196-K2*T196</f>
        <v>0.29703803985613103</v>
      </c>
      <c r="J197" s="40">
        <f>J196-K2*U196</f>
        <v>-0.74698683379915476</v>
      </c>
      <c r="K197" s="40">
        <f>K196-K2*V196</f>
        <v>-0.22744510583170033</v>
      </c>
      <c r="L197" s="40">
        <f>L196-K2*W196</f>
        <v>0.69838167379654781</v>
      </c>
      <c r="M197" s="40">
        <f>M196-K2*X196</f>
        <v>0.64897871870093926</v>
      </c>
      <c r="N197" s="35">
        <f t="shared" ref="N197:N228" si="70">I197+J197*C197+K197*D197+L197*E197+F197*M197</f>
        <v>-3.407348047244529</v>
      </c>
      <c r="O197" s="35">
        <f t="shared" ref="O197:O228" si="71">1/(1+EXP(-N197))</f>
        <v>3.2066607635831301E-2</v>
      </c>
      <c r="P197" s="36">
        <f t="shared" ref="P197:P228" si="72">IF(O197&gt;0.5,1,0)</f>
        <v>0</v>
      </c>
      <c r="Q197" s="36">
        <f t="shared" ref="Q197:Q228" si="73">O197-G197</f>
        <v>3.2066607635831301E-2</v>
      </c>
      <c r="R197" s="37">
        <f t="shared" ref="R197:R228" si="74">Q197^2</f>
        <v>1.0282673252703543E-3</v>
      </c>
      <c r="T197" s="31">
        <f t="shared" ref="T197:T228" si="75">2*(O197-G197)*(1-O197)*O197</f>
        <v>1.9905885608123282E-3</v>
      </c>
      <c r="U197" s="31">
        <f t="shared" ref="U197:U228" si="76">2*(O197-G197)*(1-O197)*O197*C197</f>
        <v>1.0351060516224107E-2</v>
      </c>
      <c r="V197" s="31">
        <f t="shared" ref="V197:V228" si="77">2*(O197-G197)*(1-O197)*O197*D197</f>
        <v>8.1614130993305448E-3</v>
      </c>
      <c r="W197" s="31">
        <f t="shared" ref="W197:W228" si="78">2*(O197-G197)*(1-O197)*O197*E197</f>
        <v>2.985882841218492E-3</v>
      </c>
      <c r="X197" s="31">
        <f t="shared" ref="X197:X228" si="79">2*(O197-G197)*(1-O197)*O197*F197</f>
        <v>1.9905885608123282E-4</v>
      </c>
    </row>
    <row r="198" spans="1:24" ht="14.25" customHeight="1" x14ac:dyDescent="0.3">
      <c r="A198" s="2"/>
      <c r="B198" s="38">
        <v>34</v>
      </c>
      <c r="C198" s="10">
        <v>5.5</v>
      </c>
      <c r="D198" s="11">
        <v>4.2</v>
      </c>
      <c r="E198" s="11">
        <v>1.4</v>
      </c>
      <c r="F198" s="11">
        <v>0.2</v>
      </c>
      <c r="G198" s="39">
        <v>0</v>
      </c>
      <c r="I198" s="38">
        <f>I197-K2*T197</f>
        <v>0.2968389810000498</v>
      </c>
      <c r="J198" s="40">
        <f>J197-K2*U197</f>
        <v>-0.74802193985077714</v>
      </c>
      <c r="K198" s="40">
        <f>K197-K2*V197</f>
        <v>-0.22826124714163337</v>
      </c>
      <c r="L198" s="40">
        <f>L197-K2*W197</f>
        <v>0.69808308551242593</v>
      </c>
      <c r="M198" s="40">
        <f>M197-K2*X197</f>
        <v>0.64895881281533119</v>
      </c>
      <c r="N198" s="35">
        <f t="shared" si="70"/>
        <v>-3.6688708438936226</v>
      </c>
      <c r="O198" s="35">
        <f t="shared" si="71"/>
        <v>2.487091414532832E-2</v>
      </c>
      <c r="P198" s="36">
        <f t="shared" si="72"/>
        <v>0</v>
      </c>
      <c r="Q198" s="36">
        <f t="shared" si="73"/>
        <v>2.487091414532832E-2</v>
      </c>
      <c r="R198" s="37">
        <f t="shared" si="74"/>
        <v>6.1856237042429228E-4</v>
      </c>
      <c r="T198" s="31">
        <f t="shared" si="75"/>
        <v>1.2063563176318781E-3</v>
      </c>
      <c r="U198" s="31">
        <f t="shared" si="76"/>
        <v>6.634959746975329E-3</v>
      </c>
      <c r="V198" s="31">
        <f t="shared" si="77"/>
        <v>5.0666965340538878E-3</v>
      </c>
      <c r="W198" s="31">
        <f t="shared" si="78"/>
        <v>1.6888988446846292E-3</v>
      </c>
      <c r="X198" s="31">
        <f t="shared" si="79"/>
        <v>2.4127126352637562E-4</v>
      </c>
    </row>
    <row r="199" spans="1:24" ht="14.25" customHeight="1" x14ac:dyDescent="0.3">
      <c r="A199" s="2"/>
      <c r="B199" s="38">
        <v>35</v>
      </c>
      <c r="C199" s="10">
        <v>4.9000000000000004</v>
      </c>
      <c r="D199" s="11">
        <v>3.1</v>
      </c>
      <c r="E199" s="11">
        <v>1.5</v>
      </c>
      <c r="F199" s="11">
        <v>0.1</v>
      </c>
      <c r="G199" s="39">
        <v>0</v>
      </c>
      <c r="I199" s="38">
        <f>I198-K2*T198</f>
        <v>0.29671834536828662</v>
      </c>
      <c r="J199" s="40">
        <f>J198-K2*U198</f>
        <v>-0.74868543582547464</v>
      </c>
      <c r="K199" s="40">
        <f>K198-K2*V198</f>
        <v>-0.22876791679503877</v>
      </c>
      <c r="L199" s="40">
        <f>L198-K2*W198</f>
        <v>0.69791419562795742</v>
      </c>
      <c r="M199" s="40">
        <f>M198-K2*X198</f>
        <v>0.6489346856889785</v>
      </c>
      <c r="N199" s="35">
        <f t="shared" si="70"/>
        <v>-2.9692560702303261</v>
      </c>
      <c r="O199" s="35">
        <f t="shared" si="71"/>
        <v>4.8834266554834693E-2</v>
      </c>
      <c r="P199" s="36">
        <f t="shared" si="72"/>
        <v>0</v>
      </c>
      <c r="Q199" s="36">
        <f t="shared" si="73"/>
        <v>4.8834266554834693E-2</v>
      </c>
      <c r="R199" s="37">
        <f t="shared" si="74"/>
        <v>2.3847855899486463E-3</v>
      </c>
      <c r="T199" s="31">
        <f t="shared" si="75"/>
        <v>4.5366526695459312E-3</v>
      </c>
      <c r="U199" s="31">
        <f t="shared" si="76"/>
        <v>2.2229598080775063E-2</v>
      </c>
      <c r="V199" s="31">
        <f t="shared" si="77"/>
        <v>1.4063623275592387E-2</v>
      </c>
      <c r="W199" s="31">
        <f t="shared" si="78"/>
        <v>6.8049790043188969E-3</v>
      </c>
      <c r="X199" s="31">
        <f t="shared" si="79"/>
        <v>4.5366526695459316E-4</v>
      </c>
    </row>
    <row r="200" spans="1:24" ht="14.25" customHeight="1" x14ac:dyDescent="0.3">
      <c r="A200" s="2"/>
      <c r="B200" s="38">
        <v>36</v>
      </c>
      <c r="C200" s="10">
        <v>5</v>
      </c>
      <c r="D200" s="11">
        <v>3.2</v>
      </c>
      <c r="E200" s="11">
        <v>1.2</v>
      </c>
      <c r="F200" s="11">
        <v>0.2</v>
      </c>
      <c r="G200" s="39">
        <v>0</v>
      </c>
      <c r="I200" s="38">
        <f>I199-K2*T199</f>
        <v>0.296264680101332</v>
      </c>
      <c r="J200" s="40">
        <f>J199-K2*U199</f>
        <v>-0.75090839563355216</v>
      </c>
      <c r="K200" s="40">
        <f>K199-K2*V199</f>
        <v>-0.23017427912259802</v>
      </c>
      <c r="L200" s="40">
        <f>L199-K2*W199</f>
        <v>0.69723369772752553</v>
      </c>
      <c r="M200" s="40">
        <f>M199-K2*X199</f>
        <v>0.64888931916228298</v>
      </c>
      <c r="N200" s="35">
        <f t="shared" si="70"/>
        <v>-3.2283766901532558</v>
      </c>
      <c r="O200" s="35">
        <f t="shared" si="71"/>
        <v>3.8111711727257365E-2</v>
      </c>
      <c r="P200" s="36">
        <f t="shared" si="72"/>
        <v>0</v>
      </c>
      <c r="Q200" s="36">
        <f t="shared" si="73"/>
        <v>3.8111711727257365E-2</v>
      </c>
      <c r="R200" s="37">
        <f t="shared" si="74"/>
        <v>1.4525025707815666E-3</v>
      </c>
      <c r="T200" s="31">
        <f t="shared" si="75"/>
        <v>2.7942904230416781E-3</v>
      </c>
      <c r="U200" s="31">
        <f t="shared" si="76"/>
        <v>1.397145211520839E-2</v>
      </c>
      <c r="V200" s="31">
        <f t="shared" si="77"/>
        <v>8.9417293537333697E-3</v>
      </c>
      <c r="W200" s="31">
        <f t="shared" si="78"/>
        <v>3.3531485076500138E-3</v>
      </c>
      <c r="X200" s="31">
        <f t="shared" si="79"/>
        <v>5.588580846083356E-4</v>
      </c>
    </row>
    <row r="201" spans="1:24" ht="14.25" customHeight="1" x14ac:dyDescent="0.3">
      <c r="A201" s="2"/>
      <c r="B201" s="38">
        <v>37</v>
      </c>
      <c r="C201" s="10">
        <v>5.5</v>
      </c>
      <c r="D201" s="11">
        <v>3.5</v>
      </c>
      <c r="E201" s="11">
        <v>1.3</v>
      </c>
      <c r="F201" s="11">
        <v>0.2</v>
      </c>
      <c r="G201" s="39">
        <v>0</v>
      </c>
      <c r="I201" s="38">
        <f>I200-K2*T200</f>
        <v>0.29598525105902784</v>
      </c>
      <c r="J201" s="40">
        <f>J200-K2*U200</f>
        <v>-0.75230554084507295</v>
      </c>
      <c r="K201" s="40">
        <f>K200-K2*V200</f>
        <v>-0.23106845205797136</v>
      </c>
      <c r="L201" s="40">
        <f>L200-K2*W200</f>
        <v>0.69689838287676054</v>
      </c>
      <c r="M201" s="40">
        <f>M200-K2*X200</f>
        <v>0.64883343335382215</v>
      </c>
      <c r="N201" s="35">
        <f t="shared" si="70"/>
        <v>-3.6147002213812205</v>
      </c>
      <c r="O201" s="35">
        <f t="shared" si="71"/>
        <v>2.6219047800258157E-2</v>
      </c>
      <c r="P201" s="36">
        <f t="shared" si="72"/>
        <v>0</v>
      </c>
      <c r="Q201" s="36">
        <f t="shared" si="73"/>
        <v>2.6219047800258157E-2</v>
      </c>
      <c r="R201" s="37">
        <f t="shared" si="74"/>
        <v>6.8743846755222216E-4</v>
      </c>
      <c r="T201" s="31">
        <f t="shared" si="75"/>
        <v>1.3388289710234683E-3</v>
      </c>
      <c r="U201" s="31">
        <f t="shared" si="76"/>
        <v>7.3635593406290757E-3</v>
      </c>
      <c r="V201" s="31">
        <f t="shared" si="77"/>
        <v>4.6859013985821388E-3</v>
      </c>
      <c r="W201" s="31">
        <f t="shared" si="78"/>
        <v>1.7404776623305088E-3</v>
      </c>
      <c r="X201" s="31">
        <f t="shared" si="79"/>
        <v>2.6776579420469365E-4</v>
      </c>
    </row>
    <row r="202" spans="1:24" ht="14.25" customHeight="1" x14ac:dyDescent="0.3">
      <c r="A202" s="2"/>
      <c r="B202" s="38">
        <v>38</v>
      </c>
      <c r="C202" s="10">
        <v>4.9000000000000004</v>
      </c>
      <c r="D202" s="11">
        <v>3.1</v>
      </c>
      <c r="E202" s="11">
        <v>1.5</v>
      </c>
      <c r="F202" s="11">
        <v>0.1</v>
      </c>
      <c r="G202" s="39">
        <v>0</v>
      </c>
      <c r="I202" s="38">
        <f>I201-K2*T201</f>
        <v>0.29585136816192548</v>
      </c>
      <c r="J202" s="40">
        <f>J201-K2*U201</f>
        <v>-0.75304189677913591</v>
      </c>
      <c r="K202" s="40">
        <f>K201-K2*V201</f>
        <v>-0.23153704219782958</v>
      </c>
      <c r="L202" s="40">
        <f>L201-K2*W201</f>
        <v>0.69672433511052745</v>
      </c>
      <c r="M202" s="40">
        <f>M201-K2*X201</f>
        <v>0.64880665677440164</v>
      </c>
      <c r="N202" s="35">
        <f t="shared" si="70"/>
        <v>-3.0018515885258803</v>
      </c>
      <c r="O202" s="35">
        <f t="shared" si="71"/>
        <v>4.7342294653869584E-2</v>
      </c>
      <c r="P202" s="36">
        <f t="shared" si="72"/>
        <v>0</v>
      </c>
      <c r="Q202" s="36">
        <f t="shared" si="73"/>
        <v>4.7342294653869584E-2</v>
      </c>
      <c r="R202" s="37">
        <f t="shared" si="74"/>
        <v>2.2412928630938084E-3</v>
      </c>
      <c r="T202" s="31">
        <f t="shared" si="75"/>
        <v>4.2703698319272124E-3</v>
      </c>
      <c r="U202" s="31">
        <f t="shared" si="76"/>
        <v>2.0924812176443344E-2</v>
      </c>
      <c r="V202" s="31">
        <f t="shared" si="77"/>
        <v>1.3238146478974359E-2</v>
      </c>
      <c r="W202" s="31">
        <f t="shared" si="78"/>
        <v>6.4055547478908187E-3</v>
      </c>
      <c r="X202" s="31">
        <f t="shared" si="79"/>
        <v>4.2703698319272124E-4</v>
      </c>
    </row>
    <row r="203" spans="1:24" ht="14.25" customHeight="1" x14ac:dyDescent="0.3">
      <c r="A203" s="2"/>
      <c r="B203" s="38">
        <v>39</v>
      </c>
      <c r="C203" s="10">
        <v>4.4000000000000004</v>
      </c>
      <c r="D203" s="11">
        <v>3</v>
      </c>
      <c r="E203" s="11">
        <v>1.3</v>
      </c>
      <c r="F203" s="11">
        <v>0.2</v>
      </c>
      <c r="G203" s="39">
        <v>0</v>
      </c>
      <c r="I203" s="38">
        <f>I202-K2*T202</f>
        <v>0.29542433117873274</v>
      </c>
      <c r="J203" s="40">
        <f>J202-K2*U202</f>
        <v>-0.75513437799678029</v>
      </c>
      <c r="K203" s="40">
        <f>K202-K2*V202</f>
        <v>-0.23286085684572702</v>
      </c>
      <c r="L203" s="40">
        <f>L202-K2*W202</f>
        <v>0.69608377963573842</v>
      </c>
      <c r="M203" s="40">
        <f>M202-K2*X202</f>
        <v>0.64876395307608237</v>
      </c>
      <c r="N203" s="35">
        <f t="shared" si="70"/>
        <v>-2.6910877984026058</v>
      </c>
      <c r="O203" s="35">
        <f t="shared" si="71"/>
        <v>6.3501297454921085E-2</v>
      </c>
      <c r="P203" s="36">
        <f t="shared" si="72"/>
        <v>0</v>
      </c>
      <c r="Q203" s="36">
        <f t="shared" si="73"/>
        <v>6.3501297454921085E-2</v>
      </c>
      <c r="R203" s="37">
        <f t="shared" si="74"/>
        <v>4.032414778458367E-3</v>
      </c>
      <c r="T203" s="31">
        <f t="shared" si="75"/>
        <v>7.5527024162997253E-3</v>
      </c>
      <c r="U203" s="31">
        <f t="shared" si="76"/>
        <v>3.3231890631718795E-2</v>
      </c>
      <c r="V203" s="31">
        <f t="shared" si="77"/>
        <v>2.2658107248899176E-2</v>
      </c>
      <c r="W203" s="31">
        <f t="shared" si="78"/>
        <v>9.8185131411896425E-3</v>
      </c>
      <c r="X203" s="31">
        <f t="shared" si="79"/>
        <v>1.5105404832599452E-3</v>
      </c>
    </row>
    <row r="204" spans="1:24" ht="14.25" customHeight="1" x14ac:dyDescent="0.3">
      <c r="A204" s="2"/>
      <c r="B204" s="38">
        <v>40</v>
      </c>
      <c r="C204" s="10">
        <v>5.0999999999999996</v>
      </c>
      <c r="D204" s="11">
        <v>3.4</v>
      </c>
      <c r="E204" s="11">
        <v>1.5</v>
      </c>
      <c r="F204" s="11">
        <v>0.2</v>
      </c>
      <c r="G204" s="39">
        <v>0</v>
      </c>
      <c r="I204" s="38">
        <f>I203-K2*T203</f>
        <v>0.29466906093710277</v>
      </c>
      <c r="J204" s="40">
        <f>J203-K2*U203</f>
        <v>-0.75845756705995215</v>
      </c>
      <c r="K204" s="40">
        <f>K203-K2*V203</f>
        <v>-0.23512666757061693</v>
      </c>
      <c r="L204" s="40">
        <f>L203-K2*W203</f>
        <v>0.69510192832161943</v>
      </c>
      <c r="M204" s="40">
        <f>M203-K2*X203</f>
        <v>0.64861289902775632</v>
      </c>
      <c r="N204" s="35">
        <f t="shared" si="70"/>
        <v>-3.2005197285207703</v>
      </c>
      <c r="O204" s="35">
        <f t="shared" si="71"/>
        <v>3.9146169176854199E-2</v>
      </c>
      <c r="P204" s="36">
        <f t="shared" si="72"/>
        <v>0</v>
      </c>
      <c r="Q204" s="36">
        <f t="shared" si="73"/>
        <v>3.9146169176854199E-2</v>
      </c>
      <c r="R204" s="37">
        <f t="shared" si="74"/>
        <v>1.5324225612228899E-3</v>
      </c>
      <c r="T204" s="31">
        <f t="shared" si="75"/>
        <v>2.9448681767816603E-3</v>
      </c>
      <c r="U204" s="31">
        <f t="shared" si="76"/>
        <v>1.5018827701586466E-2</v>
      </c>
      <c r="V204" s="31">
        <f t="shared" si="77"/>
        <v>1.0012551801057645E-2</v>
      </c>
      <c r="W204" s="31">
        <f t="shared" si="78"/>
        <v>4.4173022651724904E-3</v>
      </c>
      <c r="X204" s="31">
        <f t="shared" si="79"/>
        <v>5.8897363535633212E-4</v>
      </c>
    </row>
    <row r="205" spans="1:24" ht="14.25" customHeight="1" x14ac:dyDescent="0.3">
      <c r="A205" s="2"/>
      <c r="B205" s="38">
        <v>41</v>
      </c>
      <c r="C205" s="10">
        <v>7</v>
      </c>
      <c r="D205" s="11">
        <v>3.2</v>
      </c>
      <c r="E205" s="11">
        <v>4.7</v>
      </c>
      <c r="F205" s="11">
        <v>1.4</v>
      </c>
      <c r="G205" s="39">
        <v>1</v>
      </c>
      <c r="I205" s="38">
        <f>I204-K2*T204</f>
        <v>0.29437457411942458</v>
      </c>
      <c r="J205" s="40">
        <f>J204-K2*U204</f>
        <v>-0.75995944983011077</v>
      </c>
      <c r="K205" s="40">
        <f>K204-K2*V204</f>
        <v>-0.2361279227507227</v>
      </c>
      <c r="L205" s="40">
        <f>L204-K2*W204</f>
        <v>0.69466019809510215</v>
      </c>
      <c r="M205" s="40">
        <f>M204-K2*X204</f>
        <v>0.64855400166422073</v>
      </c>
      <c r="N205" s="35">
        <f t="shared" si="70"/>
        <v>-1.6080723941167738</v>
      </c>
      <c r="O205" s="35">
        <f t="shared" si="71"/>
        <v>0.16685640832427059</v>
      </c>
      <c r="P205" s="36">
        <f t="shared" si="72"/>
        <v>0</v>
      </c>
      <c r="Q205" s="36">
        <f t="shared" si="73"/>
        <v>-0.83314359167572938</v>
      </c>
      <c r="R205" s="37">
        <f t="shared" si="74"/>
        <v>0.69412824435033449</v>
      </c>
      <c r="T205" s="31">
        <f t="shared" si="75"/>
        <v>-0.23163949153745697</v>
      </c>
      <c r="U205" s="31">
        <f t="shared" si="76"/>
        <v>-1.6214764407621989</v>
      </c>
      <c r="V205" s="31">
        <f t="shared" si="77"/>
        <v>-0.7412463729198624</v>
      </c>
      <c r="W205" s="31">
        <f t="shared" si="78"/>
        <v>-1.0887056102260477</v>
      </c>
      <c r="X205" s="31">
        <f t="shared" si="79"/>
        <v>-0.32429528815243974</v>
      </c>
    </row>
    <row r="206" spans="1:24" ht="14.25" customHeight="1" x14ac:dyDescent="0.3">
      <c r="A206" s="2"/>
      <c r="B206" s="38">
        <v>42</v>
      </c>
      <c r="C206" s="10">
        <v>6.4</v>
      </c>
      <c r="D206" s="11">
        <v>3.2</v>
      </c>
      <c r="E206" s="11">
        <v>4.5</v>
      </c>
      <c r="F206" s="11">
        <v>1.5</v>
      </c>
      <c r="G206" s="39">
        <v>1</v>
      </c>
      <c r="I206" s="38">
        <f>I205-K2*T205</f>
        <v>0.31753852327317028</v>
      </c>
      <c r="J206" s="40">
        <f>J205-K2*U205</f>
        <v>-0.59781180575389081</v>
      </c>
      <c r="K206" s="40">
        <f>K205-K2*V205</f>
        <v>-0.16200328545873643</v>
      </c>
      <c r="L206" s="40">
        <f>L205-K2*W205</f>
        <v>0.80353075911770699</v>
      </c>
      <c r="M206" s="40">
        <f>M205-K2*X205</f>
        <v>0.68098353047946469</v>
      </c>
      <c r="N206" s="35">
        <f t="shared" si="70"/>
        <v>0.61049616472919088</v>
      </c>
      <c r="O206" s="35">
        <f t="shared" si="71"/>
        <v>0.64805397565346679</v>
      </c>
      <c r="P206" s="36">
        <f t="shared" si="72"/>
        <v>1</v>
      </c>
      <c r="Q206" s="36">
        <f t="shared" si="73"/>
        <v>-0.35194602434653321</v>
      </c>
      <c r="R206" s="37">
        <f t="shared" si="74"/>
        <v>0.12386600405333055</v>
      </c>
      <c r="T206" s="31">
        <f t="shared" si="75"/>
        <v>-0.1605437127501386</v>
      </c>
      <c r="U206" s="31">
        <f t="shared" si="76"/>
        <v>-1.0274797616008871</v>
      </c>
      <c r="V206" s="31">
        <f t="shared" si="77"/>
        <v>-0.51373988080044353</v>
      </c>
      <c r="W206" s="31">
        <f t="shared" si="78"/>
        <v>-0.72244670737562366</v>
      </c>
      <c r="X206" s="31">
        <f t="shared" si="79"/>
        <v>-0.24081556912520791</v>
      </c>
    </row>
    <row r="207" spans="1:24" ht="14.25" customHeight="1" x14ac:dyDescent="0.3">
      <c r="A207" s="2"/>
      <c r="B207" s="38">
        <v>43</v>
      </c>
      <c r="C207" s="10">
        <v>6.9</v>
      </c>
      <c r="D207" s="11">
        <v>3.1</v>
      </c>
      <c r="E207" s="11">
        <v>4.9000000000000004</v>
      </c>
      <c r="F207" s="11">
        <v>1.5</v>
      </c>
      <c r="G207" s="39">
        <v>1</v>
      </c>
      <c r="I207" s="38">
        <f>I206-K2*T206</f>
        <v>0.33359289454818414</v>
      </c>
      <c r="J207" s="40">
        <f>J206-K2*U206</f>
        <v>-0.49506382959380213</v>
      </c>
      <c r="K207" s="40">
        <f>K206-K2*V206</f>
        <v>-0.11062929737869208</v>
      </c>
      <c r="L207" s="40">
        <f>L206-K2*W206</f>
        <v>0.87577542985526935</v>
      </c>
      <c r="M207" s="40">
        <f>M206-K2*X206</f>
        <v>0.70506508739198548</v>
      </c>
      <c r="N207" s="35">
        <f t="shared" si="70"/>
        <v>1.9235988858558022</v>
      </c>
      <c r="O207" s="35">
        <f t="shared" si="71"/>
        <v>0.87253921899177878</v>
      </c>
      <c r="P207" s="36">
        <f t="shared" si="72"/>
        <v>1</v>
      </c>
      <c r="Q207" s="36">
        <f t="shared" si="73"/>
        <v>-0.12746078100822122</v>
      </c>
      <c r="R207" s="37">
        <f t="shared" si="74"/>
        <v>1.6246250695225728E-2</v>
      </c>
      <c r="T207" s="31">
        <f t="shared" si="75"/>
        <v>-2.83509817863138E-2</v>
      </c>
      <c r="U207" s="31">
        <f t="shared" si="76"/>
        <v>-0.19562177432556524</v>
      </c>
      <c r="V207" s="31">
        <f t="shared" si="77"/>
        <v>-8.7888043537572777E-2</v>
      </c>
      <c r="W207" s="31">
        <f t="shared" si="78"/>
        <v>-0.13891981075293763</v>
      </c>
      <c r="X207" s="31">
        <f t="shared" si="79"/>
        <v>-4.2526472679470698E-2</v>
      </c>
    </row>
    <row r="208" spans="1:24" ht="14.25" customHeight="1" x14ac:dyDescent="0.3">
      <c r="A208" s="2"/>
      <c r="B208" s="38">
        <v>44</v>
      </c>
      <c r="C208" s="10">
        <v>5.5</v>
      </c>
      <c r="D208" s="11">
        <v>2.2999999999999998</v>
      </c>
      <c r="E208" s="11">
        <v>4</v>
      </c>
      <c r="F208" s="11">
        <v>1.3</v>
      </c>
      <c r="G208" s="39">
        <v>1</v>
      </c>
      <c r="I208" s="38">
        <f>I207-K2*T207</f>
        <v>0.33642799272681551</v>
      </c>
      <c r="J208" s="40">
        <f>J207-K2*U207</f>
        <v>-0.47550165216124562</v>
      </c>
      <c r="K208" s="40">
        <f>K207-K2*V207</f>
        <v>-0.10184049302493481</v>
      </c>
      <c r="L208" s="40">
        <f>L207-K2*W207</f>
        <v>0.88966741093056312</v>
      </c>
      <c r="M208" s="40">
        <f>M207-K2*X207</f>
        <v>0.70931773465993253</v>
      </c>
      <c r="N208" s="35">
        <f t="shared" si="70"/>
        <v>1.9677184706627791</v>
      </c>
      <c r="O208" s="35">
        <f t="shared" si="71"/>
        <v>0.87736584325824207</v>
      </c>
      <c r="P208" s="36">
        <f t="shared" si="72"/>
        <v>1</v>
      </c>
      <c r="Q208" s="36">
        <f t="shared" si="73"/>
        <v>-0.12263415674175793</v>
      </c>
      <c r="R208" s="37">
        <f t="shared" si="74"/>
        <v>1.5039136399762051E-2</v>
      </c>
      <c r="T208" s="31">
        <f t="shared" si="75"/>
        <v>-2.6389649178505909E-2</v>
      </c>
      <c r="U208" s="31">
        <f t="shared" si="76"/>
        <v>-0.14514307048178249</v>
      </c>
      <c r="V208" s="31">
        <f t="shared" si="77"/>
        <v>-6.0696193110563589E-2</v>
      </c>
      <c r="W208" s="31">
        <f t="shared" si="78"/>
        <v>-0.10555859671402364</v>
      </c>
      <c r="X208" s="31">
        <f t="shared" si="79"/>
        <v>-3.4306543932057683E-2</v>
      </c>
    </row>
    <row r="209" spans="1:24" ht="14.25" customHeight="1" x14ac:dyDescent="0.3">
      <c r="A209" s="2"/>
      <c r="B209" s="38">
        <v>45</v>
      </c>
      <c r="C209" s="10">
        <v>6.5</v>
      </c>
      <c r="D209" s="11">
        <v>2.8</v>
      </c>
      <c r="E209" s="11">
        <v>4.5999999999999996</v>
      </c>
      <c r="F209" s="11">
        <v>1.5</v>
      </c>
      <c r="G209" s="39">
        <v>1</v>
      </c>
      <c r="I209" s="38">
        <f>I208-K2*T208</f>
        <v>0.3390669576446661</v>
      </c>
      <c r="J209" s="40">
        <f>J208-K2*U208</f>
        <v>-0.46098734511306738</v>
      </c>
      <c r="K209" s="40">
        <f>K208-K2*V208</f>
        <v>-9.5770873713878449E-2</v>
      </c>
      <c r="L209" s="40">
        <f>L208-K2*W208</f>
        <v>0.9002232706019655</v>
      </c>
      <c r="M209" s="40">
        <f>M208-K2*X208</f>
        <v>0.71274838905313831</v>
      </c>
      <c r="N209" s="35">
        <f t="shared" si="70"/>
        <v>2.2846403963596167</v>
      </c>
      <c r="O209" s="35">
        <f t="shared" si="71"/>
        <v>0.90759694922271561</v>
      </c>
      <c r="P209" s="36">
        <f t="shared" si="72"/>
        <v>1</v>
      </c>
      <c r="Q209" s="36">
        <f t="shared" si="73"/>
        <v>-9.240305077728439E-2</v>
      </c>
      <c r="R209" s="37">
        <f t="shared" si="74"/>
        <v>8.5383237929493976E-3</v>
      </c>
      <c r="T209" s="31">
        <f t="shared" si="75"/>
        <v>-1.5498713251913198E-2</v>
      </c>
      <c r="U209" s="31">
        <f t="shared" si="76"/>
        <v>-0.10074163613743578</v>
      </c>
      <c r="V209" s="31">
        <f t="shared" si="77"/>
        <v>-4.3396397105356949E-2</v>
      </c>
      <c r="W209" s="31">
        <f t="shared" si="78"/>
        <v>-7.1294080958800701E-2</v>
      </c>
      <c r="X209" s="31">
        <f t="shared" si="79"/>
        <v>-2.3248069877869797E-2</v>
      </c>
    </row>
    <row r="210" spans="1:24" ht="14.25" customHeight="1" x14ac:dyDescent="0.3">
      <c r="A210" s="2"/>
      <c r="B210" s="38">
        <v>46</v>
      </c>
      <c r="C210" s="10">
        <v>5.7</v>
      </c>
      <c r="D210" s="11">
        <v>2.8</v>
      </c>
      <c r="E210" s="11">
        <v>4.5</v>
      </c>
      <c r="F210" s="11">
        <v>1.3</v>
      </c>
      <c r="G210" s="39">
        <v>1</v>
      </c>
      <c r="I210" s="38">
        <f>I209-K2*T209</f>
        <v>0.3406168289698574</v>
      </c>
      <c r="J210" s="40">
        <f>J209-K2*U209</f>
        <v>-0.4509131814993238</v>
      </c>
      <c r="K210" s="40">
        <f>K209-K2*V209</f>
        <v>-9.1431234003342757E-2</v>
      </c>
      <c r="L210" s="40">
        <f>L209-K2*W209</f>
        <v>0.90735267869784553</v>
      </c>
      <c r="M210" s="40">
        <f>M209-K2*X209</f>
        <v>0.71507319604092534</v>
      </c>
      <c r="N210" s="35">
        <f t="shared" si="70"/>
        <v>2.5270864482078594</v>
      </c>
      <c r="O210" s="35">
        <f t="shared" si="71"/>
        <v>0.92601899992418935</v>
      </c>
      <c r="P210" s="36">
        <f t="shared" si="72"/>
        <v>1</v>
      </c>
      <c r="Q210" s="36">
        <f t="shared" si="73"/>
        <v>-7.3981000075810655E-2</v>
      </c>
      <c r="R210" s="37">
        <f t="shared" si="74"/>
        <v>5.473188372217096E-3</v>
      </c>
      <c r="T210" s="31">
        <f t="shared" si="75"/>
        <v>-1.0136552845674354E-2</v>
      </c>
      <c r="U210" s="31">
        <f t="shared" si="76"/>
        <v>-5.7778351220343818E-2</v>
      </c>
      <c r="V210" s="31">
        <f t="shared" si="77"/>
        <v>-2.8382347967888188E-2</v>
      </c>
      <c r="W210" s="31">
        <f t="shared" si="78"/>
        <v>-4.5614487805534593E-2</v>
      </c>
      <c r="X210" s="31">
        <f t="shared" si="79"/>
        <v>-1.317751869937666E-2</v>
      </c>
    </row>
    <row r="211" spans="1:24" ht="14.25" customHeight="1" x14ac:dyDescent="0.3">
      <c r="A211" s="2"/>
      <c r="B211" s="38">
        <v>47</v>
      </c>
      <c r="C211" s="10">
        <v>6.3</v>
      </c>
      <c r="D211" s="11">
        <v>3.3</v>
      </c>
      <c r="E211" s="11">
        <v>4.7</v>
      </c>
      <c r="F211" s="11">
        <v>1.6</v>
      </c>
      <c r="G211" s="39">
        <v>1</v>
      </c>
      <c r="I211" s="38">
        <f>I210-K2*T210</f>
        <v>0.34163048425442483</v>
      </c>
      <c r="J211" s="40">
        <f>J210-K2*U210</f>
        <v>-0.44513534637728941</v>
      </c>
      <c r="K211" s="40">
        <f>K210-K2*V210</f>
        <v>-8.8592999206553932E-2</v>
      </c>
      <c r="L211" s="40">
        <f>L210-K2*W210</f>
        <v>0.91191412747839895</v>
      </c>
      <c r="M211" s="40">
        <f>M210-K2*X210</f>
        <v>0.716390947910863</v>
      </c>
      <c r="N211" s="35">
        <f t="shared" si="70"/>
        <v>2.6771428205017296</v>
      </c>
      <c r="O211" s="35">
        <f t="shared" si="71"/>
        <v>0.93566434510692775</v>
      </c>
      <c r="P211" s="36">
        <f t="shared" si="72"/>
        <v>1</v>
      </c>
      <c r="Q211" s="36">
        <f t="shared" si="73"/>
        <v>-6.4335654893072247E-2</v>
      </c>
      <c r="R211" s="37">
        <f t="shared" si="74"/>
        <v>4.1390764905204908E-3</v>
      </c>
      <c r="T211" s="31">
        <f t="shared" si="75"/>
        <v>-7.745572587700672E-3</v>
      </c>
      <c r="U211" s="31">
        <f t="shared" si="76"/>
        <v>-4.8797107302514235E-2</v>
      </c>
      <c r="V211" s="31">
        <f t="shared" si="77"/>
        <v>-2.5560389539412216E-2</v>
      </c>
      <c r="W211" s="31">
        <f t="shared" si="78"/>
        <v>-3.6404191162193157E-2</v>
      </c>
      <c r="X211" s="31">
        <f t="shared" si="79"/>
        <v>-1.2392916140321076E-2</v>
      </c>
    </row>
    <row r="212" spans="1:24" ht="14.25" customHeight="1" x14ac:dyDescent="0.3">
      <c r="A212" s="2"/>
      <c r="B212" s="38">
        <v>48</v>
      </c>
      <c r="C212" s="10">
        <v>4.9000000000000004</v>
      </c>
      <c r="D212" s="11">
        <v>2.4</v>
      </c>
      <c r="E212" s="11">
        <v>3.3</v>
      </c>
      <c r="F212" s="11">
        <v>1</v>
      </c>
      <c r="G212" s="39">
        <v>1</v>
      </c>
      <c r="I212" s="38">
        <f>I211-K2*T211</f>
        <v>0.3424050415131949</v>
      </c>
      <c r="J212" s="40">
        <f>J211-K2*U211</f>
        <v>-0.44025563564703796</v>
      </c>
      <c r="K212" s="40">
        <f>K211-K2*V211</f>
        <v>-8.6036960252612704E-2</v>
      </c>
      <c r="L212" s="40">
        <f>L211-K2*W211</f>
        <v>0.91555454659461821</v>
      </c>
      <c r="M212" s="40">
        <f>M211-K2*X211</f>
        <v>0.71763023952489513</v>
      </c>
      <c r="N212" s="35">
        <f t="shared" si="70"/>
        <v>1.7176239655235737</v>
      </c>
      <c r="O212" s="35">
        <f t="shared" si="71"/>
        <v>0.8478225348840579</v>
      </c>
      <c r="P212" s="36">
        <f t="shared" si="72"/>
        <v>1</v>
      </c>
      <c r="Q212" s="36">
        <f t="shared" si="73"/>
        <v>-0.1521774651159421</v>
      </c>
      <c r="R212" s="37">
        <f t="shared" si="74"/>
        <v>2.3157980889113774E-2</v>
      </c>
      <c r="T212" s="31">
        <f t="shared" si="75"/>
        <v>-3.9267716120410016E-2</v>
      </c>
      <c r="U212" s="31">
        <f t="shared" si="76"/>
        <v>-0.19241180899000909</v>
      </c>
      <c r="V212" s="31">
        <f t="shared" si="77"/>
        <v>-9.4242518688984034E-2</v>
      </c>
      <c r="W212" s="31">
        <f t="shared" si="78"/>
        <v>-0.12958346319735306</v>
      </c>
      <c r="X212" s="31">
        <f t="shared" si="79"/>
        <v>-3.9267716120410016E-2</v>
      </c>
    </row>
    <row r="213" spans="1:24" ht="14.25" customHeight="1" x14ac:dyDescent="0.3">
      <c r="A213" s="2"/>
      <c r="B213" s="38">
        <v>49</v>
      </c>
      <c r="C213" s="10">
        <v>6.6</v>
      </c>
      <c r="D213" s="11">
        <v>2.9</v>
      </c>
      <c r="E213" s="11">
        <v>4.5999999999999996</v>
      </c>
      <c r="F213" s="11">
        <v>1.3</v>
      </c>
      <c r="G213" s="39">
        <v>1</v>
      </c>
      <c r="I213" s="38">
        <f>I212-K2*T212</f>
        <v>0.34633181312523592</v>
      </c>
      <c r="J213" s="40">
        <f>J212-K2*U212</f>
        <v>-0.42101445474803706</v>
      </c>
      <c r="K213" s="40">
        <f>K212-K2*V212</f>
        <v>-7.6612708383714298E-2</v>
      </c>
      <c r="L213" s="40">
        <f>L212-K2*W212</f>
        <v>0.92851289291435357</v>
      </c>
      <c r="M213" s="40">
        <f>M212-K2*X212</f>
        <v>0.72155701113693616</v>
      </c>
      <c r="N213" s="35">
        <f t="shared" si="70"/>
        <v>2.5546429793594632</v>
      </c>
      <c r="O213" s="35">
        <f t="shared" si="71"/>
        <v>0.92788481556365132</v>
      </c>
      <c r="P213" s="36">
        <f t="shared" si="72"/>
        <v>1</v>
      </c>
      <c r="Q213" s="36">
        <f t="shared" si="73"/>
        <v>-7.2115184436348678E-2</v>
      </c>
      <c r="R213" s="37">
        <f t="shared" si="74"/>
        <v>5.2005998262885864E-3</v>
      </c>
      <c r="T213" s="31">
        <f t="shared" si="75"/>
        <v>-9.6511152212722835E-3</v>
      </c>
      <c r="U213" s="31">
        <f t="shared" si="76"/>
        <v>-6.3697360460397062E-2</v>
      </c>
      <c r="V213" s="31">
        <f t="shared" si="77"/>
        <v>-2.7988234141689623E-2</v>
      </c>
      <c r="W213" s="31">
        <f t="shared" si="78"/>
        <v>-4.4395130017852502E-2</v>
      </c>
      <c r="X213" s="31">
        <f t="shared" si="79"/>
        <v>-1.2546449787653969E-2</v>
      </c>
    </row>
    <row r="214" spans="1:24" ht="14.25" customHeight="1" x14ac:dyDescent="0.3">
      <c r="A214" s="2"/>
      <c r="B214" s="38">
        <v>50</v>
      </c>
      <c r="C214" s="10">
        <v>5.2</v>
      </c>
      <c r="D214" s="11">
        <v>2.7</v>
      </c>
      <c r="E214" s="11">
        <v>3.9</v>
      </c>
      <c r="F214" s="11">
        <v>1.4</v>
      </c>
      <c r="G214" s="39">
        <v>1</v>
      </c>
      <c r="I214" s="38">
        <f>I213-K2*T213</f>
        <v>0.34729692464736317</v>
      </c>
      <c r="J214" s="40">
        <f>J213-K2*U213</f>
        <v>-0.41464471870199737</v>
      </c>
      <c r="K214" s="40">
        <f>K213-K2*V213</f>
        <v>-7.3813884969545329E-2</v>
      </c>
      <c r="L214" s="40">
        <f>L213-K2*W213</f>
        <v>0.93295240591613882</v>
      </c>
      <c r="M214" s="40">
        <f>M213-K2*X213</f>
        <v>0.72281165611570153</v>
      </c>
      <c r="N214" s="35">
        <f t="shared" si="70"/>
        <v>2.6422975996141274</v>
      </c>
      <c r="O214" s="35">
        <f t="shared" si="71"/>
        <v>0.93353466726071666</v>
      </c>
      <c r="P214" s="36">
        <f t="shared" si="72"/>
        <v>1</v>
      </c>
      <c r="Q214" s="36">
        <f t="shared" si="73"/>
        <v>-6.6465332739283345E-2</v>
      </c>
      <c r="R214" s="37">
        <f t="shared" si="74"/>
        <v>4.4176404561436502E-3</v>
      </c>
      <c r="T214" s="31">
        <f t="shared" si="75"/>
        <v>-8.2480410266070857E-3</v>
      </c>
      <c r="U214" s="31">
        <f t="shared" si="76"/>
        <v>-4.2889813338356848E-2</v>
      </c>
      <c r="V214" s="31">
        <f t="shared" si="77"/>
        <v>-2.2269710771839132E-2</v>
      </c>
      <c r="W214" s="31">
        <f t="shared" si="78"/>
        <v>-3.2167360003767631E-2</v>
      </c>
      <c r="X214" s="31">
        <f t="shared" si="79"/>
        <v>-1.1547257437249919E-2</v>
      </c>
    </row>
    <row r="215" spans="1:24" ht="14.25" customHeight="1" x14ac:dyDescent="0.3">
      <c r="A215" s="2"/>
      <c r="B215" s="38">
        <v>51</v>
      </c>
      <c r="C215" s="10">
        <v>5</v>
      </c>
      <c r="D215" s="11">
        <v>2</v>
      </c>
      <c r="E215" s="11">
        <v>3.5</v>
      </c>
      <c r="F215" s="11">
        <v>1</v>
      </c>
      <c r="G215" s="39">
        <v>1</v>
      </c>
      <c r="I215" s="38">
        <f>I214-K2*T214</f>
        <v>0.3481217287500239</v>
      </c>
      <c r="J215" s="40">
        <f>J214-K2*U214</f>
        <v>-0.41035573736816167</v>
      </c>
      <c r="K215" s="40">
        <f>K214-K2*V214</f>
        <v>-7.1586913892361409E-2</v>
      </c>
      <c r="L215" s="40">
        <f>L214-K2*W214</f>
        <v>0.93616914191651557</v>
      </c>
      <c r="M215" s="40">
        <f>M214-K2*X214</f>
        <v>0.72396638185942652</v>
      </c>
      <c r="N215" s="35">
        <f t="shared" si="70"/>
        <v>2.1537275926917236</v>
      </c>
      <c r="O215" s="35">
        <f t="shared" si="71"/>
        <v>0.89601659293015479</v>
      </c>
      <c r="P215" s="36">
        <f t="shared" si="72"/>
        <v>1</v>
      </c>
      <c r="Q215" s="36">
        <f t="shared" si="73"/>
        <v>-0.10398340706984521</v>
      </c>
      <c r="R215" s="37">
        <f t="shared" si="74"/>
        <v>1.0812548945853135E-2</v>
      </c>
      <c r="T215" s="31">
        <f t="shared" si="75"/>
        <v>-1.9376446534707725E-2</v>
      </c>
      <c r="U215" s="31">
        <f t="shared" si="76"/>
        <v>-9.6882232673538626E-2</v>
      </c>
      <c r="V215" s="31">
        <f t="shared" si="77"/>
        <v>-3.8752893069415449E-2</v>
      </c>
      <c r="W215" s="31">
        <f t="shared" si="78"/>
        <v>-6.7817562871477041E-2</v>
      </c>
      <c r="X215" s="31">
        <f t="shared" si="79"/>
        <v>-1.9376446534707725E-2</v>
      </c>
    </row>
    <row r="216" spans="1:24" ht="14.25" customHeight="1" x14ac:dyDescent="0.3">
      <c r="A216" s="2"/>
      <c r="B216" s="38">
        <v>52</v>
      </c>
      <c r="C216" s="10">
        <v>5.9</v>
      </c>
      <c r="D216" s="11">
        <v>3</v>
      </c>
      <c r="E216" s="11">
        <v>4.2</v>
      </c>
      <c r="F216" s="11">
        <v>1.5</v>
      </c>
      <c r="G216" s="39">
        <v>1</v>
      </c>
      <c r="I216" s="38">
        <f>I215-K2*T215</f>
        <v>0.35005937340349469</v>
      </c>
      <c r="J216" s="40">
        <f>J215-K2*U215</f>
        <v>-0.40066751410080781</v>
      </c>
      <c r="K216" s="40">
        <f>K215-K2*V215</f>
        <v>-6.7711624585419863E-2</v>
      </c>
      <c r="L216" s="40">
        <f>L215-K2*W215</f>
        <v>0.94295089820366329</v>
      </c>
      <c r="M216" s="40">
        <f>M215-K2*X215</f>
        <v>0.72590402651289732</v>
      </c>
      <c r="N216" s="35">
        <f t="shared" si="70"/>
        <v>2.8322359786772009</v>
      </c>
      <c r="O216" s="35">
        <f t="shared" si="71"/>
        <v>0.94439314064614766</v>
      </c>
      <c r="P216" s="36">
        <f t="shared" si="72"/>
        <v>1</v>
      </c>
      <c r="Q216" s="36">
        <f t="shared" si="73"/>
        <v>-5.5606859353852345E-2</v>
      </c>
      <c r="R216" s="37">
        <f t="shared" si="74"/>
        <v>3.0921228071991158E-3</v>
      </c>
      <c r="T216" s="31">
        <f t="shared" si="75"/>
        <v>-5.8403591383087107E-3</v>
      </c>
      <c r="U216" s="31">
        <f t="shared" si="76"/>
        <v>-3.4458118916021394E-2</v>
      </c>
      <c r="V216" s="31">
        <f t="shared" si="77"/>
        <v>-1.7521077414926131E-2</v>
      </c>
      <c r="W216" s="31">
        <f t="shared" si="78"/>
        <v>-2.4529508380896587E-2</v>
      </c>
      <c r="X216" s="31">
        <f t="shared" si="79"/>
        <v>-8.7605387074630656E-3</v>
      </c>
    </row>
    <row r="217" spans="1:24" ht="14.25" customHeight="1" x14ac:dyDescent="0.3">
      <c r="A217" s="2"/>
      <c r="B217" s="38">
        <v>53</v>
      </c>
      <c r="C217" s="10">
        <v>6</v>
      </c>
      <c r="D217" s="11">
        <v>2.2000000000000002</v>
      </c>
      <c r="E217" s="11">
        <v>4</v>
      </c>
      <c r="F217" s="11">
        <v>1</v>
      </c>
      <c r="G217" s="39">
        <v>1</v>
      </c>
      <c r="I217" s="38">
        <f>I216-K2*T216</f>
        <v>0.35064340931732557</v>
      </c>
      <c r="J217" s="40">
        <f>J216-K2*U216</f>
        <v>-0.39722170220920566</v>
      </c>
      <c r="K217" s="40">
        <f>K216-K2*V216</f>
        <v>-6.5959516843927257E-2</v>
      </c>
      <c r="L217" s="40">
        <f>L216-K2*W216</f>
        <v>0.9454038490417529</v>
      </c>
      <c r="M217" s="40">
        <f>M216-K2*X216</f>
        <v>0.72678008038364361</v>
      </c>
      <c r="N217" s="35">
        <f t="shared" si="70"/>
        <v>2.3305977355561067</v>
      </c>
      <c r="O217" s="35">
        <f t="shared" si="71"/>
        <v>0.9113796258081146</v>
      </c>
      <c r="P217" s="36">
        <f t="shared" si="72"/>
        <v>1</v>
      </c>
      <c r="Q217" s="36">
        <f t="shared" si="73"/>
        <v>-8.8620374191885398E-2</v>
      </c>
      <c r="R217" s="37">
        <f t="shared" si="74"/>
        <v>7.8535707219097878E-3</v>
      </c>
      <c r="T217" s="31">
        <f t="shared" si="75"/>
        <v>-1.4315168691583413E-2</v>
      </c>
      <c r="U217" s="31">
        <f t="shared" si="76"/>
        <v>-8.5891012149500484E-2</v>
      </c>
      <c r="V217" s="31">
        <f t="shared" si="77"/>
        <v>-3.149337112148351E-2</v>
      </c>
      <c r="W217" s="31">
        <f t="shared" si="78"/>
        <v>-5.7260674766333654E-2</v>
      </c>
      <c r="X217" s="31">
        <f t="shared" si="79"/>
        <v>-1.4315168691583413E-2</v>
      </c>
    </row>
    <row r="218" spans="1:24" ht="14.25" customHeight="1" x14ac:dyDescent="0.3">
      <c r="A218" s="2"/>
      <c r="B218" s="38">
        <v>54</v>
      </c>
      <c r="C218" s="10">
        <v>6.1</v>
      </c>
      <c r="D218" s="11">
        <v>2.9</v>
      </c>
      <c r="E218" s="11">
        <v>4.7</v>
      </c>
      <c r="F218" s="11">
        <v>1.4</v>
      </c>
      <c r="G218" s="39">
        <v>1</v>
      </c>
      <c r="I218" s="38">
        <f>I217-K2*T217</f>
        <v>0.35207492618648389</v>
      </c>
      <c r="J218" s="40">
        <f>J217-K2*U217</f>
        <v>-0.38863260099425562</v>
      </c>
      <c r="K218" s="40">
        <f>K217-K2*V217</f>
        <v>-6.2810179731778909E-2</v>
      </c>
      <c r="L218" s="40">
        <f>L217-K2*W217</f>
        <v>0.9511299165183863</v>
      </c>
      <c r="M218" s="40">
        <f>M217-K2*X217</f>
        <v>0.72821159725280193</v>
      </c>
      <c r="N218" s="35">
        <f t="shared" si="70"/>
        <v>3.2890733826897041</v>
      </c>
      <c r="O218" s="35">
        <f t="shared" si="71"/>
        <v>0.96405205535978122</v>
      </c>
      <c r="P218" s="36">
        <f t="shared" si="72"/>
        <v>1</v>
      </c>
      <c r="Q218" s="36">
        <f t="shared" si="73"/>
        <v>-3.5947944640218776E-2</v>
      </c>
      <c r="R218" s="37">
        <f t="shared" si="74"/>
        <v>1.2922547238562339E-3</v>
      </c>
      <c r="T218" s="31">
        <f t="shared" si="75"/>
        <v>-2.4916016451639778E-3</v>
      </c>
      <c r="U218" s="31">
        <f t="shared" si="76"/>
        <v>-1.5198770035500263E-2</v>
      </c>
      <c r="V218" s="31">
        <f t="shared" si="77"/>
        <v>-7.225644770975535E-3</v>
      </c>
      <c r="W218" s="31">
        <f t="shared" si="78"/>
        <v>-1.1710527732270696E-2</v>
      </c>
      <c r="X218" s="31">
        <f t="shared" si="79"/>
        <v>-3.4882423032295685E-3</v>
      </c>
    </row>
    <row r="219" spans="1:24" ht="14.25" customHeight="1" x14ac:dyDescent="0.3">
      <c r="A219" s="2"/>
      <c r="B219" s="38">
        <v>55</v>
      </c>
      <c r="C219" s="10">
        <v>5.6</v>
      </c>
      <c r="D219" s="11">
        <v>2.9</v>
      </c>
      <c r="E219" s="11">
        <v>3.6</v>
      </c>
      <c r="F219" s="11">
        <v>1.3</v>
      </c>
      <c r="G219" s="39">
        <v>1</v>
      </c>
      <c r="I219" s="38">
        <f>I218-K2*T218</f>
        <v>0.35232408635100027</v>
      </c>
      <c r="J219" s="40">
        <f>J218-K2*U218</f>
        <v>-0.38711272399070557</v>
      </c>
      <c r="K219" s="40">
        <f>K218-K2*V218</f>
        <v>-6.2087615254681358E-2</v>
      </c>
      <c r="L219" s="40">
        <f>L218-K2*W218</f>
        <v>0.95230096929161334</v>
      </c>
      <c r="M219" s="40">
        <f>M218-K2*X218</f>
        <v>0.72856042148312494</v>
      </c>
      <c r="N219" s="35">
        <f t="shared" si="70"/>
        <v>2.3798507851423434</v>
      </c>
      <c r="O219" s="35">
        <f t="shared" si="71"/>
        <v>0.91527786422521795</v>
      </c>
      <c r="P219" s="36">
        <f t="shared" si="72"/>
        <v>1</v>
      </c>
      <c r="Q219" s="36">
        <f t="shared" si="73"/>
        <v>-8.4722135774782048E-2</v>
      </c>
      <c r="R219" s="37">
        <f t="shared" si="74"/>
        <v>7.1778402902406046E-3</v>
      </c>
      <c r="T219" s="31">
        <f t="shared" si="75"/>
        <v>-1.3139436661202278E-2</v>
      </c>
      <c r="U219" s="31">
        <f t="shared" si="76"/>
        <v>-7.3580845302732747E-2</v>
      </c>
      <c r="V219" s="31">
        <f t="shared" si="77"/>
        <v>-3.8104366317486607E-2</v>
      </c>
      <c r="W219" s="31">
        <f t="shared" si="78"/>
        <v>-4.7301971980328199E-2</v>
      </c>
      <c r="X219" s="31">
        <f t="shared" si="79"/>
        <v>-1.708126765956296E-2</v>
      </c>
    </row>
    <row r="220" spans="1:24" ht="14.25" customHeight="1" x14ac:dyDescent="0.3">
      <c r="A220" s="2"/>
      <c r="B220" s="38">
        <v>56</v>
      </c>
      <c r="C220" s="10">
        <v>6.7</v>
      </c>
      <c r="D220" s="11">
        <v>3.1</v>
      </c>
      <c r="E220" s="11">
        <v>4.4000000000000004</v>
      </c>
      <c r="F220" s="11">
        <v>1.4</v>
      </c>
      <c r="G220" s="39">
        <v>1</v>
      </c>
      <c r="I220" s="38">
        <f>I219-K2*T219</f>
        <v>0.35363803001712052</v>
      </c>
      <c r="J220" s="40">
        <f>J219-K2*U219</f>
        <v>-0.37975463946043231</v>
      </c>
      <c r="K220" s="40">
        <f>K219-K2*V219</f>
        <v>-5.8277178622932697E-2</v>
      </c>
      <c r="L220" s="40">
        <f>L219-K2*W219</f>
        <v>0.95703116648964615</v>
      </c>
      <c r="M220" s="40">
        <f>M219-K2*X219</f>
        <v>0.73026854824908127</v>
      </c>
      <c r="N220" s="35">
        <f t="shared" si="70"/>
        <v>2.8619357920042896</v>
      </c>
      <c r="O220" s="35">
        <f t="shared" si="71"/>
        <v>0.94593238976001215</v>
      </c>
      <c r="P220" s="36">
        <f t="shared" si="72"/>
        <v>1</v>
      </c>
      <c r="Q220" s="36">
        <f t="shared" si="73"/>
        <v>-5.4067610239987851E-2</v>
      </c>
      <c r="R220" s="37">
        <f t="shared" si="74"/>
        <v>2.9233064770632393E-3</v>
      </c>
      <c r="T220" s="31">
        <f t="shared" si="75"/>
        <v>-5.5305005636987039E-3</v>
      </c>
      <c r="U220" s="31">
        <f t="shared" si="76"/>
        <v>-3.7054353776781318E-2</v>
      </c>
      <c r="V220" s="31">
        <f t="shared" si="77"/>
        <v>-1.7144551747465982E-2</v>
      </c>
      <c r="W220" s="31">
        <f t="shared" si="78"/>
        <v>-2.4334202480274299E-2</v>
      </c>
      <c r="X220" s="31">
        <f t="shared" si="79"/>
        <v>-7.7427007891781845E-3</v>
      </c>
    </row>
    <row r="221" spans="1:24" ht="14.25" customHeight="1" x14ac:dyDescent="0.3">
      <c r="A221" s="2"/>
      <c r="B221" s="38">
        <v>57</v>
      </c>
      <c r="C221" s="10">
        <v>5.6</v>
      </c>
      <c r="D221" s="11">
        <v>3</v>
      </c>
      <c r="E221" s="11">
        <v>4.5</v>
      </c>
      <c r="F221" s="11">
        <v>1.5</v>
      </c>
      <c r="G221" s="39">
        <v>1</v>
      </c>
      <c r="I221" s="38">
        <f>I220-K2*T220</f>
        <v>0.35419108007349037</v>
      </c>
      <c r="J221" s="40">
        <f>J220-K2*U220</f>
        <v>-0.37604920408275416</v>
      </c>
      <c r="K221" s="40">
        <f>K220-K2*V220</f>
        <v>-5.6562723448186102E-2</v>
      </c>
      <c r="L221" s="40">
        <f>L220-K2*W220</f>
        <v>0.95946458673767354</v>
      </c>
      <c r="M221" s="40">
        <f>M220-K2*X220</f>
        <v>0.73104281832799911</v>
      </c>
      <c r="N221" s="35">
        <f t="shared" si="70"/>
        <v>3.4927822346770379</v>
      </c>
      <c r="O221" s="35">
        <f t="shared" si="71"/>
        <v>0.970481702821828</v>
      </c>
      <c r="P221" s="36">
        <f t="shared" si="72"/>
        <v>1</v>
      </c>
      <c r="Q221" s="36">
        <f t="shared" si="73"/>
        <v>-2.9518297178172004E-2</v>
      </c>
      <c r="R221" s="37">
        <f t="shared" si="74"/>
        <v>8.7132986829887725E-4</v>
      </c>
      <c r="T221" s="31">
        <f t="shared" si="75"/>
        <v>-1.6912193886124271E-3</v>
      </c>
      <c r="U221" s="31">
        <f t="shared" si="76"/>
        <v>-9.4708285762295907E-3</v>
      </c>
      <c r="V221" s="31">
        <f t="shared" si="77"/>
        <v>-5.0736581658372814E-3</v>
      </c>
      <c r="W221" s="31">
        <f t="shared" si="78"/>
        <v>-7.6104872487559221E-3</v>
      </c>
      <c r="X221" s="31">
        <f t="shared" si="79"/>
        <v>-2.5368290829186407E-3</v>
      </c>
    </row>
    <row r="222" spans="1:24" ht="14.25" customHeight="1" x14ac:dyDescent="0.3">
      <c r="A222" s="2"/>
      <c r="B222" s="38">
        <v>58</v>
      </c>
      <c r="C222" s="10">
        <v>5.8</v>
      </c>
      <c r="D222" s="11">
        <v>2.7</v>
      </c>
      <c r="E222" s="11">
        <v>4.0999999999999996</v>
      </c>
      <c r="F222" s="11">
        <v>1</v>
      </c>
      <c r="G222" s="39">
        <v>1</v>
      </c>
      <c r="I222" s="38">
        <f>I221-K2*T221</f>
        <v>0.35436020201235163</v>
      </c>
      <c r="J222" s="40">
        <f>J221-K2*U221</f>
        <v>-0.3751021212251312</v>
      </c>
      <c r="K222" s="40">
        <f>K221-K2*V221</f>
        <v>-5.6055357631602375E-2</v>
      </c>
      <c r="L222" s="40">
        <f>L221-K2*W221</f>
        <v>0.96022563546254913</v>
      </c>
      <c r="M222" s="40">
        <f>M221-K2*X221</f>
        <v>0.73129650123629097</v>
      </c>
      <c r="N222" s="35">
        <f t="shared" si="70"/>
        <v>2.6956400399340064</v>
      </c>
      <c r="O222" s="35">
        <f t="shared" si="71"/>
        <v>0.93676888193675889</v>
      </c>
      <c r="P222" s="36">
        <f t="shared" si="72"/>
        <v>1</v>
      </c>
      <c r="Q222" s="36">
        <f t="shared" si="73"/>
        <v>-6.323111806324111E-2</v>
      </c>
      <c r="R222" s="37">
        <f t="shared" si="74"/>
        <v>3.9981742915275358E-3</v>
      </c>
      <c r="T222" s="31">
        <f t="shared" si="75"/>
        <v>-7.490730521725086E-3</v>
      </c>
      <c r="U222" s="31">
        <f t="shared" si="76"/>
        <v>-4.3446237026005495E-2</v>
      </c>
      <c r="V222" s="31">
        <f t="shared" si="77"/>
        <v>-2.0224972408657733E-2</v>
      </c>
      <c r="W222" s="31">
        <f t="shared" si="78"/>
        <v>-3.0711995139072849E-2</v>
      </c>
      <c r="X222" s="31">
        <f t="shared" si="79"/>
        <v>-7.490730521725086E-3</v>
      </c>
    </row>
    <row r="223" spans="1:24" ht="14.25" customHeight="1" x14ac:dyDescent="0.3">
      <c r="A223" s="2"/>
      <c r="B223" s="38">
        <v>59</v>
      </c>
      <c r="C223" s="10">
        <v>6.2</v>
      </c>
      <c r="D223" s="11">
        <v>2.2000000000000002</v>
      </c>
      <c r="E223" s="11">
        <v>4.5</v>
      </c>
      <c r="F223" s="11">
        <v>1.5</v>
      </c>
      <c r="G223" s="39">
        <v>1</v>
      </c>
      <c r="I223" s="38">
        <f>I222-K2*T222</f>
        <v>0.35510927506452417</v>
      </c>
      <c r="J223" s="40">
        <f>J222-K2*U222</f>
        <v>-0.37075749752253068</v>
      </c>
      <c r="K223" s="40">
        <f>K222-K2*V222</f>
        <v>-5.4032860390736598E-2</v>
      </c>
      <c r="L223" s="40">
        <f>L222-K2*W222</f>
        <v>0.96329683497645646</v>
      </c>
      <c r="M223" s="40">
        <f>M222-K2*X222</f>
        <v>0.73204557428846351</v>
      </c>
      <c r="N223" s="35">
        <f t="shared" si="70"/>
        <v>3.3704446163919628</v>
      </c>
      <c r="O223" s="35">
        <f t="shared" si="71"/>
        <v>0.96676797860707187</v>
      </c>
      <c r="P223" s="36">
        <f t="shared" si="72"/>
        <v>1</v>
      </c>
      <c r="Q223" s="36">
        <f t="shared" si="73"/>
        <v>-3.3232021392928135E-2</v>
      </c>
      <c r="R223" s="37">
        <f t="shared" si="74"/>
        <v>1.1043672458600333E-3</v>
      </c>
      <c r="T223" s="31">
        <f t="shared" si="75"/>
        <v>-2.1353337798399271E-3</v>
      </c>
      <c r="U223" s="31">
        <f t="shared" si="76"/>
        <v>-1.3239069435007548E-2</v>
      </c>
      <c r="V223" s="31">
        <f t="shared" si="77"/>
        <v>-4.6977343156478397E-3</v>
      </c>
      <c r="W223" s="31">
        <f t="shared" si="78"/>
        <v>-9.6090020092796727E-3</v>
      </c>
      <c r="X223" s="31">
        <f t="shared" si="79"/>
        <v>-3.2030006697598909E-3</v>
      </c>
    </row>
    <row r="224" spans="1:24" ht="14.25" customHeight="1" x14ac:dyDescent="0.3">
      <c r="A224" s="2"/>
      <c r="B224" s="38">
        <v>60</v>
      </c>
      <c r="C224" s="10">
        <v>5.6</v>
      </c>
      <c r="D224" s="11">
        <v>2.5</v>
      </c>
      <c r="E224" s="11">
        <v>3.9</v>
      </c>
      <c r="F224" s="11">
        <v>1.1000000000000001</v>
      </c>
      <c r="G224" s="39">
        <v>1</v>
      </c>
      <c r="I224" s="38">
        <f>I223-K2*T223</f>
        <v>0.35532280844250813</v>
      </c>
      <c r="J224" s="40">
        <f>J223-K2*U223</f>
        <v>-0.36943359057902991</v>
      </c>
      <c r="K224" s="40">
        <f>K223-K2*V223</f>
        <v>-5.3563086959171814E-2</v>
      </c>
      <c r="L224" s="40">
        <f>L223-K2*W223</f>
        <v>0.96425773517738445</v>
      </c>
      <c r="M224" s="40">
        <f>M223-K2*X223</f>
        <v>0.73236587435543954</v>
      </c>
      <c r="N224" s="35">
        <f t="shared" si="70"/>
        <v>2.7187946127847935</v>
      </c>
      <c r="O224" s="35">
        <f t="shared" si="71"/>
        <v>0.9381266038795899</v>
      </c>
      <c r="P224" s="36">
        <f t="shared" si="72"/>
        <v>1</v>
      </c>
      <c r="Q224" s="36">
        <f t="shared" si="73"/>
        <v>-6.1873396120410096E-2</v>
      </c>
      <c r="R224" s="37">
        <f t="shared" si="74"/>
        <v>3.828317147473179E-3</v>
      </c>
      <c r="T224" s="31">
        <f t="shared" si="75"/>
        <v>-7.1828923282660252E-3</v>
      </c>
      <c r="U224" s="31">
        <f t="shared" si="76"/>
        <v>-4.0224197038289736E-2</v>
      </c>
      <c r="V224" s="31">
        <f t="shared" si="77"/>
        <v>-1.7957230820665061E-2</v>
      </c>
      <c r="W224" s="31">
        <f t="shared" si="78"/>
        <v>-2.8013280080237499E-2</v>
      </c>
      <c r="X224" s="31">
        <f t="shared" si="79"/>
        <v>-7.9011815610926291E-3</v>
      </c>
    </row>
    <row r="225" spans="1:24" ht="14.25" customHeight="1" x14ac:dyDescent="0.3">
      <c r="A225" s="2"/>
      <c r="B225" s="38">
        <v>61</v>
      </c>
      <c r="C225" s="10">
        <v>5.9</v>
      </c>
      <c r="D225" s="11">
        <v>3.2</v>
      </c>
      <c r="E225" s="11">
        <v>4.8</v>
      </c>
      <c r="F225" s="11">
        <v>1.8</v>
      </c>
      <c r="G225" s="39">
        <v>1</v>
      </c>
      <c r="I225" s="38">
        <f>I224-K2*T224</f>
        <v>0.35604109767533476</v>
      </c>
      <c r="J225" s="40">
        <f>J224-K2*U224</f>
        <v>-0.36541117087520092</v>
      </c>
      <c r="K225" s="40">
        <f>K224-K2*V224</f>
        <v>-5.1767363877105309E-2</v>
      </c>
      <c r="L225" s="40">
        <f>L224-K2*W224</f>
        <v>0.96705906318540824</v>
      </c>
      <c r="M225" s="40">
        <f>M224-K2*X224</f>
        <v>0.73315599251154884</v>
      </c>
      <c r="N225" s="35">
        <f t="shared" si="70"/>
        <v>3.9960239149156593</v>
      </c>
      <c r="O225" s="35">
        <f t="shared" si="71"/>
        <v>0.98194342685488445</v>
      </c>
      <c r="P225" s="36">
        <f t="shared" si="72"/>
        <v>1</v>
      </c>
      <c r="Q225" s="36">
        <f t="shared" si="73"/>
        <v>-1.8056573145115551E-2</v>
      </c>
      <c r="R225" s="37">
        <f t="shared" si="74"/>
        <v>3.260398337449081E-4</v>
      </c>
      <c r="T225" s="31">
        <f t="shared" si="75"/>
        <v>-6.403053432773437E-4</v>
      </c>
      <c r="U225" s="31">
        <f t="shared" si="76"/>
        <v>-3.7778015253363282E-3</v>
      </c>
      <c r="V225" s="31">
        <f t="shared" si="77"/>
        <v>-2.0489770984874998E-3</v>
      </c>
      <c r="W225" s="31">
        <f t="shared" si="78"/>
        <v>-3.0734656477312498E-3</v>
      </c>
      <c r="X225" s="31">
        <f t="shared" si="79"/>
        <v>-1.1525496178992187E-3</v>
      </c>
    </row>
    <row r="226" spans="1:24" ht="14.25" customHeight="1" x14ac:dyDescent="0.3">
      <c r="A226" s="2"/>
      <c r="B226" s="38">
        <v>62</v>
      </c>
      <c r="C226" s="10">
        <v>6.1</v>
      </c>
      <c r="D226" s="11">
        <v>2.8</v>
      </c>
      <c r="E226" s="11">
        <v>4</v>
      </c>
      <c r="F226" s="11">
        <v>1.3</v>
      </c>
      <c r="G226" s="39">
        <v>1</v>
      </c>
      <c r="I226" s="38">
        <f>I225-K2*T225</f>
        <v>0.3561051282096625</v>
      </c>
      <c r="J226" s="40">
        <f>J225-K2*U225</f>
        <v>-0.36503339072266727</v>
      </c>
      <c r="K226" s="40">
        <f>K225-K2*V225</f>
        <v>-5.1562466167256557E-2</v>
      </c>
      <c r="L226" s="40">
        <f>L225-K2*W225</f>
        <v>0.9673664097501814</v>
      </c>
      <c r="M226" s="40">
        <f>M225-K2*X225</f>
        <v>0.73327124747333872</v>
      </c>
      <c r="N226" s="35">
        <f t="shared" si="70"/>
        <v>2.8077448002491403</v>
      </c>
      <c r="O226" s="35">
        <f t="shared" si="71"/>
        <v>0.94309290648080213</v>
      </c>
      <c r="P226" s="36">
        <f t="shared" si="72"/>
        <v>1</v>
      </c>
      <c r="Q226" s="36">
        <f t="shared" si="73"/>
        <v>-5.6907093519197871E-2</v>
      </c>
      <c r="R226" s="37">
        <f t="shared" si="74"/>
        <v>3.2384172928027325E-3</v>
      </c>
      <c r="T226" s="31">
        <f t="shared" si="75"/>
        <v>-6.1082567541340393E-3</v>
      </c>
      <c r="U226" s="31">
        <f t="shared" si="76"/>
        <v>-3.7260366200217637E-2</v>
      </c>
      <c r="V226" s="31">
        <f t="shared" si="77"/>
        <v>-1.7103118911575309E-2</v>
      </c>
      <c r="W226" s="31">
        <f t="shared" si="78"/>
        <v>-2.4433027016536157E-2</v>
      </c>
      <c r="X226" s="31">
        <f t="shared" si="79"/>
        <v>-7.9407337803742515E-3</v>
      </c>
    </row>
    <row r="227" spans="1:24" ht="14.25" customHeight="1" x14ac:dyDescent="0.3">
      <c r="A227" s="2"/>
      <c r="B227" s="38">
        <v>63</v>
      </c>
      <c r="C227" s="10">
        <v>6.3</v>
      </c>
      <c r="D227" s="11">
        <v>2.5</v>
      </c>
      <c r="E227" s="11">
        <v>4.9000000000000004</v>
      </c>
      <c r="F227" s="11">
        <v>1.5</v>
      </c>
      <c r="G227" s="39">
        <v>1</v>
      </c>
      <c r="I227" s="38">
        <f>I226-K2*T226</f>
        <v>0.35671595388507593</v>
      </c>
      <c r="J227" s="40">
        <f>J226-K2*U226</f>
        <v>-0.36130735410264553</v>
      </c>
      <c r="K227" s="40">
        <f>K226-K2*V226</f>
        <v>-4.9852154276099028E-2</v>
      </c>
      <c r="L227" s="40">
        <f>L226-K2*W226</f>
        <v>0.969809712451835</v>
      </c>
      <c r="M227" s="40">
        <f>M226-K2*X226</f>
        <v>0.7340653208513761</v>
      </c>
      <c r="N227" s="35">
        <f t="shared" si="70"/>
        <v>3.8090148096392173</v>
      </c>
      <c r="O227" s="35">
        <f t="shared" si="71"/>
        <v>0.97831083903149596</v>
      </c>
      <c r="P227" s="36">
        <f t="shared" si="72"/>
        <v>1</v>
      </c>
      <c r="Q227" s="36">
        <f t="shared" si="73"/>
        <v>-2.168916096850404E-2</v>
      </c>
      <c r="R227" s="37">
        <f t="shared" si="74"/>
        <v>4.7041970351767909E-4</v>
      </c>
      <c r="T227" s="31">
        <f t="shared" si="75"/>
        <v>-9.2043338969065639E-4</v>
      </c>
      <c r="U227" s="31">
        <f t="shared" si="76"/>
        <v>-5.7987303550511354E-3</v>
      </c>
      <c r="V227" s="31">
        <f t="shared" si="77"/>
        <v>-2.3010834742266408E-3</v>
      </c>
      <c r="W227" s="31">
        <f t="shared" si="78"/>
        <v>-4.510123609484217E-3</v>
      </c>
      <c r="X227" s="31">
        <f t="shared" si="79"/>
        <v>-1.3806500845359845E-3</v>
      </c>
    </row>
    <row r="228" spans="1:24" ht="14.25" customHeight="1" x14ac:dyDescent="0.3">
      <c r="A228" s="2"/>
      <c r="B228" s="38">
        <v>64</v>
      </c>
      <c r="C228" s="10">
        <v>6.1</v>
      </c>
      <c r="D228" s="11">
        <v>2.8</v>
      </c>
      <c r="E228" s="11">
        <v>4.7</v>
      </c>
      <c r="F228" s="11">
        <v>1.2</v>
      </c>
      <c r="G228" s="39">
        <v>1</v>
      </c>
      <c r="I228" s="38">
        <f>I227-K2*T227</f>
        <v>0.35680799722404499</v>
      </c>
      <c r="J228" s="40">
        <f>J227-K2*U227</f>
        <v>-0.36072748106714042</v>
      </c>
      <c r="K228" s="40">
        <f>K227-K2*V227</f>
        <v>-4.9622045928676362E-2</v>
      </c>
      <c r="L228" s="40">
        <f>L227-K2*W227</f>
        <v>0.97026072481278347</v>
      </c>
      <c r="M228" s="40">
        <f>M227-K2*X227</f>
        <v>0.73420338585982969</v>
      </c>
      <c r="N228" s="35">
        <f t="shared" si="70"/>
        <v>3.4586981037660727</v>
      </c>
      <c r="O228" s="35">
        <f t="shared" si="71"/>
        <v>0.9694894806587957</v>
      </c>
      <c r="P228" s="36">
        <f t="shared" si="72"/>
        <v>1</v>
      </c>
      <c r="Q228" s="36">
        <f t="shared" si="73"/>
        <v>-3.0510519341204301E-2</v>
      </c>
      <c r="R228" s="37">
        <f t="shared" si="74"/>
        <v>9.3089179047000173E-4</v>
      </c>
      <c r="T228" s="31">
        <f t="shared" si="75"/>
        <v>-1.8049795969845969E-3</v>
      </c>
      <c r="U228" s="31">
        <f t="shared" si="76"/>
        <v>-1.1010375541606041E-2</v>
      </c>
      <c r="V228" s="31">
        <f t="shared" si="77"/>
        <v>-5.0539428715568714E-3</v>
      </c>
      <c r="W228" s="31">
        <f t="shared" si="78"/>
        <v>-8.4834041058276053E-3</v>
      </c>
      <c r="X228" s="31">
        <f t="shared" si="79"/>
        <v>-2.1659755163815162E-3</v>
      </c>
    </row>
    <row r="229" spans="1:24" ht="14.25" customHeight="1" x14ac:dyDescent="0.3">
      <c r="A229" s="2"/>
      <c r="B229" s="38">
        <v>65</v>
      </c>
      <c r="C229" s="10">
        <v>6.4</v>
      </c>
      <c r="D229" s="11">
        <v>2.9</v>
      </c>
      <c r="E229" s="11">
        <v>4.3</v>
      </c>
      <c r="F229" s="11">
        <v>1.3</v>
      </c>
      <c r="G229" s="39">
        <v>1</v>
      </c>
      <c r="I229" s="38">
        <f>I228-K2*T228</f>
        <v>0.35698849518374343</v>
      </c>
      <c r="J229" s="40">
        <f>J228-K2*U228</f>
        <v>-0.35962644351297984</v>
      </c>
      <c r="K229" s="40">
        <f>K228-K2*V228</f>
        <v>-4.9116651641520674E-2</v>
      </c>
      <c r="L229" s="40">
        <f>L228-K2*W228</f>
        <v>0.97110906522336626</v>
      </c>
      <c r="M229" s="40">
        <f>M228-K2*X228</f>
        <v>0.73441998341146786</v>
      </c>
      <c r="N229" s="35">
        <f t="shared" ref="N229:N244" si="80">I229+J229*C229+K229*D229+L229*E229+F229*M229</f>
        <v>3.0434559258356457</v>
      </c>
      <c r="O229" s="35">
        <f t="shared" ref="O229:O244" si="81">1/(1+EXP(-N229))</f>
        <v>0.95449915783008521</v>
      </c>
      <c r="P229" s="36">
        <f t="shared" ref="P229:P244" si="82">IF(O229&gt;0.5,1,0)</f>
        <v>1</v>
      </c>
      <c r="Q229" s="36">
        <f t="shared" ref="Q229:Q244" si="83">O229-G229</f>
        <v>-4.550084216991479E-2</v>
      </c>
      <c r="R229" s="37">
        <f t="shared" ref="R229:R244" si="84">Q229^2</f>
        <v>2.0703266381714961E-3</v>
      </c>
      <c r="T229" s="31">
        <f t="shared" ref="T229:T244" si="85">2*(O229-G229)*(1-O229)*O229</f>
        <v>-3.9522500651357692E-3</v>
      </c>
      <c r="U229" s="31">
        <f t="shared" ref="U229:U244" si="86">2*(O229-G229)*(1-O229)*O229*C229</f>
        <v>-2.5294400416868923E-2</v>
      </c>
      <c r="V229" s="31">
        <f t="shared" ref="V229:V244" si="87">2*(O229-G229)*(1-O229)*O229*D229</f>
        <v>-1.1461525188893731E-2</v>
      </c>
      <c r="W229" s="31">
        <f t="shared" ref="W229:W244" si="88">2*(O229-G229)*(1-O229)*O229*E229</f>
        <v>-1.6994675280083808E-2</v>
      </c>
      <c r="X229" s="31">
        <f t="shared" ref="X229:X244" si="89">2*(O229-G229)*(1-O229)*O229*F229</f>
        <v>-5.1379250846765E-3</v>
      </c>
    </row>
    <row r="230" spans="1:24" ht="14.25" customHeight="1" x14ac:dyDescent="0.3">
      <c r="A230" s="2"/>
      <c r="B230" s="38">
        <v>66</v>
      </c>
      <c r="C230" s="10">
        <v>6.6</v>
      </c>
      <c r="D230" s="11">
        <v>3</v>
      </c>
      <c r="E230" s="11">
        <v>4.4000000000000004</v>
      </c>
      <c r="F230" s="11">
        <v>1.4</v>
      </c>
      <c r="G230" s="39">
        <v>1</v>
      </c>
      <c r="I230" s="38">
        <f>I229-K2*T229</f>
        <v>0.35738372019025699</v>
      </c>
      <c r="J230" s="40">
        <f>J229-K2*U229</f>
        <v>-0.35709700347129297</v>
      </c>
      <c r="K230" s="40">
        <f>K229-K2*V229</f>
        <v>-4.7970499122631301E-2</v>
      </c>
      <c r="L230" s="40">
        <f>L229-K2*W229</f>
        <v>0.97280853275137469</v>
      </c>
      <c r="M230" s="40">
        <f>M229-K2*X229</f>
        <v>0.73493377591993547</v>
      </c>
      <c r="N230" s="35">
        <f t="shared" si="80"/>
        <v>3.1658968303057877</v>
      </c>
      <c r="O230" s="35">
        <f t="shared" si="81"/>
        <v>0.95953055172205926</v>
      </c>
      <c r="P230" s="36">
        <f t="shared" si="82"/>
        <v>1</v>
      </c>
      <c r="Q230" s="36">
        <f t="shared" si="83"/>
        <v>-4.0469448277940745E-2</v>
      </c>
      <c r="R230" s="37">
        <f t="shared" si="84"/>
        <v>1.6377762439209211E-3</v>
      </c>
      <c r="T230" s="31">
        <f t="shared" si="85"/>
        <v>-3.1429926858534468E-3</v>
      </c>
      <c r="U230" s="31">
        <f t="shared" si="86"/>
        <v>-2.0743751726632748E-2</v>
      </c>
      <c r="V230" s="31">
        <f t="shared" si="87"/>
        <v>-9.4289780575603395E-3</v>
      </c>
      <c r="W230" s="31">
        <f t="shared" si="88"/>
        <v>-1.3829167817755167E-2</v>
      </c>
      <c r="X230" s="31">
        <f t="shared" si="89"/>
        <v>-4.4001897601948252E-3</v>
      </c>
    </row>
    <row r="231" spans="1:24" ht="14.25" customHeight="1" x14ac:dyDescent="0.3">
      <c r="A231" s="2"/>
      <c r="B231" s="38">
        <v>67</v>
      </c>
      <c r="C231" s="10">
        <v>6.8</v>
      </c>
      <c r="D231" s="11">
        <v>2.8</v>
      </c>
      <c r="E231" s="11">
        <v>4.8</v>
      </c>
      <c r="F231" s="11">
        <v>1.4</v>
      </c>
      <c r="G231" s="39">
        <v>1</v>
      </c>
      <c r="I231" s="38">
        <f>I230-K2*T230</f>
        <v>0.35769801945884233</v>
      </c>
      <c r="J231" s="40">
        <f>J230-K2*U230</f>
        <v>-0.35502262829862968</v>
      </c>
      <c r="K231" s="40">
        <f>K230-K2*V230</f>
        <v>-4.7027601316875264E-2</v>
      </c>
      <c r="L231" s="40">
        <f>L230-K2*W230</f>
        <v>0.97419144953315018</v>
      </c>
      <c r="M231" s="40">
        <f>M230-K2*X230</f>
        <v>0.735373794895955</v>
      </c>
      <c r="N231" s="35">
        <f t="shared" si="80"/>
        <v>3.5175091339543672</v>
      </c>
      <c r="O231" s="35">
        <f t="shared" si="81"/>
        <v>0.97118187236274756</v>
      </c>
      <c r="P231" s="36">
        <f t="shared" si="82"/>
        <v>1</v>
      </c>
      <c r="Q231" s="36">
        <f t="shared" si="83"/>
        <v>-2.8818127637252444E-2</v>
      </c>
      <c r="R231" s="37">
        <f t="shared" si="84"/>
        <v>8.3048448051697315E-4</v>
      </c>
      <c r="T231" s="31">
        <f t="shared" si="85"/>
        <v>-1.6131029455133555E-3</v>
      </c>
      <c r="U231" s="31">
        <f t="shared" si="86"/>
        <v>-1.0969100029490817E-2</v>
      </c>
      <c r="V231" s="31">
        <f t="shared" si="87"/>
        <v>-4.5166882474373948E-3</v>
      </c>
      <c r="W231" s="31">
        <f t="shared" si="88"/>
        <v>-7.7428941384641058E-3</v>
      </c>
      <c r="X231" s="31">
        <f t="shared" si="89"/>
        <v>-2.2583441237186974E-3</v>
      </c>
    </row>
    <row r="232" spans="1:24" ht="14.25" customHeight="1" x14ac:dyDescent="0.3">
      <c r="A232" s="2"/>
      <c r="B232" s="38">
        <v>68</v>
      </c>
      <c r="C232" s="10">
        <v>6.7</v>
      </c>
      <c r="D232" s="11">
        <v>3</v>
      </c>
      <c r="E232" s="11">
        <v>5</v>
      </c>
      <c r="F232" s="11">
        <v>1.7</v>
      </c>
      <c r="G232" s="39">
        <v>1</v>
      </c>
      <c r="I232" s="38">
        <f>I231-K2*T231</f>
        <v>0.35785932975339368</v>
      </c>
      <c r="J232" s="40">
        <f>J231-K2*U231</f>
        <v>-0.35392571829568059</v>
      </c>
      <c r="K232" s="40">
        <f>K231-K2*V231</f>
        <v>-4.6575932492131523E-2</v>
      </c>
      <c r="L232" s="40">
        <f>L231-K2*W231</f>
        <v>0.97496573894699656</v>
      </c>
      <c r="M232" s="40">
        <f>M231-K2*X231</f>
        <v>0.7355996293083269</v>
      </c>
      <c r="N232" s="35">
        <f t="shared" si="80"/>
        <v>3.9721772842550784</v>
      </c>
      <c r="O232" s="35">
        <f t="shared" si="81"/>
        <v>0.98151571810400351</v>
      </c>
      <c r="P232" s="36">
        <f t="shared" si="82"/>
        <v>1</v>
      </c>
      <c r="Q232" s="36">
        <f t="shared" si="83"/>
        <v>-1.8484281895996491E-2</v>
      </c>
      <c r="R232" s="37">
        <f t="shared" si="84"/>
        <v>3.4166867721066363E-4</v>
      </c>
      <c r="T232" s="31">
        <f t="shared" si="85"/>
        <v>-6.7070635413213895E-4</v>
      </c>
      <c r="U232" s="31">
        <f t="shared" si="86"/>
        <v>-4.4937325726853309E-3</v>
      </c>
      <c r="V232" s="31">
        <f t="shared" si="87"/>
        <v>-2.0121190623964167E-3</v>
      </c>
      <c r="W232" s="31">
        <f t="shared" si="88"/>
        <v>-3.3535317706606949E-3</v>
      </c>
      <c r="X232" s="31">
        <f t="shared" si="89"/>
        <v>-1.1402008020246362E-3</v>
      </c>
    </row>
    <row r="233" spans="1:24" ht="14.25" customHeight="1" x14ac:dyDescent="0.3">
      <c r="A233" s="2"/>
      <c r="B233" s="38">
        <v>69</v>
      </c>
      <c r="C233" s="10">
        <v>6</v>
      </c>
      <c r="D233" s="11">
        <v>2.9</v>
      </c>
      <c r="E233" s="11">
        <v>4.5</v>
      </c>
      <c r="F233" s="11">
        <v>1.5</v>
      </c>
      <c r="G233" s="39">
        <v>1</v>
      </c>
      <c r="I233" s="38">
        <f>I232-K2*T232</f>
        <v>0.35792640038880691</v>
      </c>
      <c r="J233" s="40">
        <f>J232-K2*U232</f>
        <v>-0.35347634503841208</v>
      </c>
      <c r="K233" s="40">
        <f>K232-K2*V232</f>
        <v>-4.6374720585891885E-2</v>
      </c>
      <c r="L233" s="40">
        <f>L232-K2*W232</f>
        <v>0.97530109212406269</v>
      </c>
      <c r="M233" s="40">
        <f>M232-K2*X232</f>
        <v>0.73571364938852934</v>
      </c>
      <c r="N233" s="35">
        <f t="shared" si="80"/>
        <v>3.5950070291003238</v>
      </c>
      <c r="O233" s="35">
        <f t="shared" si="81"/>
        <v>0.97327343443764558</v>
      </c>
      <c r="P233" s="36">
        <f t="shared" si="82"/>
        <v>1</v>
      </c>
      <c r="Q233" s="36">
        <f t="shared" si="83"/>
        <v>-2.6726565562354421E-2</v>
      </c>
      <c r="R233" s="37">
        <f t="shared" si="84"/>
        <v>7.1430930675882927E-4</v>
      </c>
      <c r="T233" s="31">
        <f t="shared" si="85"/>
        <v>-1.390436544479879E-3</v>
      </c>
      <c r="U233" s="31">
        <f t="shared" si="86"/>
        <v>-8.3426192668792747E-3</v>
      </c>
      <c r="V233" s="31">
        <f t="shared" si="87"/>
        <v>-4.0322659789916492E-3</v>
      </c>
      <c r="W233" s="31">
        <f t="shared" si="88"/>
        <v>-6.256964450159456E-3</v>
      </c>
      <c r="X233" s="31">
        <f t="shared" si="89"/>
        <v>-2.0856548167198187E-3</v>
      </c>
    </row>
    <row r="234" spans="1:24" ht="14.25" customHeight="1" x14ac:dyDescent="0.3">
      <c r="A234" s="2"/>
      <c r="B234" s="38">
        <v>70</v>
      </c>
      <c r="C234" s="10">
        <v>5.7</v>
      </c>
      <c r="D234" s="11">
        <v>2.6</v>
      </c>
      <c r="E234" s="11">
        <v>3.5</v>
      </c>
      <c r="F234" s="11">
        <v>1</v>
      </c>
      <c r="G234" s="39">
        <v>1</v>
      </c>
      <c r="I234" s="38">
        <f>I233-K2*T233</f>
        <v>0.35806544404325491</v>
      </c>
      <c r="J234" s="40">
        <f>J233-K2*U233</f>
        <v>-0.35264208311172413</v>
      </c>
      <c r="K234" s="40">
        <f>K233-K2*V233</f>
        <v>-4.5971493987992718E-2</v>
      </c>
      <c r="L234" s="40">
        <f>L233-K2*W233</f>
        <v>0.97592678856907866</v>
      </c>
      <c r="M234" s="40">
        <f>M233-K2*X233</f>
        <v>0.73592221487020137</v>
      </c>
      <c r="N234" s="35">
        <f t="shared" si="80"/>
        <v>2.3801456607996232</v>
      </c>
      <c r="O234" s="35">
        <f t="shared" si="81"/>
        <v>0.91530072735043999</v>
      </c>
      <c r="P234" s="36">
        <f t="shared" si="82"/>
        <v>1</v>
      </c>
      <c r="Q234" s="36">
        <f t="shared" si="83"/>
        <v>-8.4699272649560009E-2</v>
      </c>
      <c r="R234" s="37">
        <f t="shared" si="84"/>
        <v>7.1739667873645038E-3</v>
      </c>
      <c r="T234" s="31">
        <f t="shared" si="85"/>
        <v>-1.3132674036925258E-2</v>
      </c>
      <c r="U234" s="31">
        <f t="shared" si="86"/>
        <v>-7.4856242010473972E-2</v>
      </c>
      <c r="V234" s="31">
        <f t="shared" si="87"/>
        <v>-3.4144952496005673E-2</v>
      </c>
      <c r="W234" s="31">
        <f t="shared" si="88"/>
        <v>-4.5964359129238408E-2</v>
      </c>
      <c r="X234" s="31">
        <f t="shared" si="89"/>
        <v>-1.3132674036925258E-2</v>
      </c>
    </row>
    <row r="235" spans="1:24" ht="14.25" customHeight="1" x14ac:dyDescent="0.3">
      <c r="A235" s="2"/>
      <c r="B235" s="38">
        <v>71</v>
      </c>
      <c r="C235" s="10">
        <v>5.5</v>
      </c>
      <c r="D235" s="11">
        <v>2.4</v>
      </c>
      <c r="E235" s="11">
        <v>3.8</v>
      </c>
      <c r="F235" s="11">
        <v>1.1000000000000001</v>
      </c>
      <c r="G235" s="39">
        <v>1</v>
      </c>
      <c r="I235" s="38">
        <f>I234-K2*T234</f>
        <v>0.35937871144694744</v>
      </c>
      <c r="J235" s="40">
        <f>J234-K2*U234</f>
        <v>-0.3451564589106767</v>
      </c>
      <c r="K235" s="40">
        <f>K234-K2*V234</f>
        <v>-4.2556998738392152E-2</v>
      </c>
      <c r="L235" s="40">
        <f>L234-K2*W234</f>
        <v>0.98052322448200246</v>
      </c>
      <c r="M235" s="40">
        <f>M234-K2*X234</f>
        <v>0.73723548227389391</v>
      </c>
      <c r="N235" s="35">
        <f t="shared" si="80"/>
        <v>2.8958286739989769</v>
      </c>
      <c r="O235" s="35">
        <f t="shared" si="81"/>
        <v>0.94763984775770382</v>
      </c>
      <c r="P235" s="36">
        <f t="shared" si="82"/>
        <v>1</v>
      </c>
      <c r="Q235" s="36">
        <f t="shared" si="83"/>
        <v>-5.2360152242296176E-2</v>
      </c>
      <c r="R235" s="37">
        <f t="shared" si="84"/>
        <v>2.7415855428364333E-3</v>
      </c>
      <c r="T235" s="31">
        <f t="shared" si="85"/>
        <v>-5.1960714128564791E-3</v>
      </c>
      <c r="U235" s="31">
        <f t="shared" si="86"/>
        <v>-2.8578392770710635E-2</v>
      </c>
      <c r="V235" s="31">
        <f t="shared" si="87"/>
        <v>-1.2470571390855549E-2</v>
      </c>
      <c r="W235" s="31">
        <f t="shared" si="88"/>
        <v>-1.974507136885462E-2</v>
      </c>
      <c r="X235" s="31">
        <f t="shared" si="89"/>
        <v>-5.7156785541421272E-3</v>
      </c>
    </row>
    <row r="236" spans="1:24" ht="14.25" customHeight="1" x14ac:dyDescent="0.3">
      <c r="A236" s="2"/>
      <c r="B236" s="38">
        <v>72</v>
      </c>
      <c r="C236" s="10">
        <v>5.5</v>
      </c>
      <c r="D236" s="11">
        <v>2.4</v>
      </c>
      <c r="E236" s="11">
        <v>3.7</v>
      </c>
      <c r="F236" s="11">
        <v>1</v>
      </c>
      <c r="G236" s="39">
        <v>1</v>
      </c>
      <c r="I236" s="38">
        <f>I235-K2*T235</f>
        <v>0.35989831858823307</v>
      </c>
      <c r="J236" s="40">
        <f>J235-K2*U235</f>
        <v>-0.34229861963360564</v>
      </c>
      <c r="K236" s="40">
        <f>K235-K2*V235</f>
        <v>-4.1309941599306593E-2</v>
      </c>
      <c r="L236" s="40">
        <f>L235-K2*W235</f>
        <v>0.98249773161888798</v>
      </c>
      <c r="M236" s="40">
        <f>M235-K2*X235</f>
        <v>0.73780705012930814</v>
      </c>
      <c r="N236" s="35">
        <f t="shared" si="80"/>
        <v>2.7511607078842601</v>
      </c>
      <c r="O236" s="35">
        <f t="shared" si="81"/>
        <v>0.93997886878637438</v>
      </c>
      <c r="P236" s="36">
        <f t="shared" si="82"/>
        <v>1</v>
      </c>
      <c r="Q236" s="36">
        <f t="shared" si="83"/>
        <v>-6.0021131213625623E-2</v>
      </c>
      <c r="R236" s="37">
        <f t="shared" si="84"/>
        <v>3.602536192163264E-3</v>
      </c>
      <c r="T236" s="31">
        <f t="shared" si="85"/>
        <v>-6.772615789343195E-3</v>
      </c>
      <c r="U236" s="31">
        <f t="shared" si="86"/>
        <v>-3.7249386841387573E-2</v>
      </c>
      <c r="V236" s="31">
        <f t="shared" si="87"/>
        <v>-1.6254277894423668E-2</v>
      </c>
      <c r="W236" s="31">
        <f t="shared" si="88"/>
        <v>-2.5058678420569823E-2</v>
      </c>
      <c r="X236" s="31">
        <f t="shared" si="89"/>
        <v>-6.772615789343195E-3</v>
      </c>
    </row>
    <row r="237" spans="1:24" ht="14.25" customHeight="1" x14ac:dyDescent="0.3">
      <c r="A237" s="2"/>
      <c r="B237" s="38">
        <v>73</v>
      </c>
      <c r="C237" s="10">
        <v>5.8</v>
      </c>
      <c r="D237" s="11">
        <v>2.7</v>
      </c>
      <c r="E237" s="11">
        <v>3.9</v>
      </c>
      <c r="F237" s="11">
        <v>1.2</v>
      </c>
      <c r="G237" s="39">
        <v>1</v>
      </c>
      <c r="I237" s="38">
        <f>I236-K2*T236</f>
        <v>0.3605755801671674</v>
      </c>
      <c r="J237" s="40">
        <f>J236-K2*U236</f>
        <v>-0.33857368094946688</v>
      </c>
      <c r="K237" s="40">
        <f>K236-K2*V236</f>
        <v>-3.9684513809864229E-2</v>
      </c>
      <c r="L237" s="40">
        <f>L236-K2*W236</f>
        <v>0.98500359946094496</v>
      </c>
      <c r="M237" s="40">
        <f>M236-K2*X236</f>
        <v>0.73848431170824247</v>
      </c>
      <c r="N237" s="35">
        <f t="shared" si="80"/>
        <v>3.0173952553212025</v>
      </c>
      <c r="O237" s="35">
        <f t="shared" si="81"/>
        <v>0.95335382838035454</v>
      </c>
      <c r="P237" s="36">
        <f t="shared" si="82"/>
        <v>1</v>
      </c>
      <c r="Q237" s="36">
        <f t="shared" si="83"/>
        <v>-4.664617161964546E-2</v>
      </c>
      <c r="R237" s="37">
        <f t="shared" si="84"/>
        <v>2.1758653267694174E-3</v>
      </c>
      <c r="T237" s="31">
        <f t="shared" si="85"/>
        <v>-4.1487390786313907E-3</v>
      </c>
      <c r="U237" s="31">
        <f t="shared" si="86"/>
        <v>-2.4062686656062066E-2</v>
      </c>
      <c r="V237" s="31">
        <f t="shared" si="87"/>
        <v>-1.1201595512304756E-2</v>
      </c>
      <c r="W237" s="31">
        <f t="shared" si="88"/>
        <v>-1.6180082406662424E-2</v>
      </c>
      <c r="X237" s="31">
        <f t="shared" si="89"/>
        <v>-4.9784868943576685E-3</v>
      </c>
    </row>
    <row r="238" spans="1:24" ht="14.25" customHeight="1" x14ac:dyDescent="0.3">
      <c r="A238" s="2"/>
      <c r="B238" s="38">
        <v>74</v>
      </c>
      <c r="C238" s="10">
        <v>6</v>
      </c>
      <c r="D238" s="11">
        <v>2.7</v>
      </c>
      <c r="E238" s="11">
        <v>5.0999999999999996</v>
      </c>
      <c r="F238" s="11">
        <v>1.6</v>
      </c>
      <c r="G238" s="39">
        <v>1</v>
      </c>
      <c r="I238" s="38">
        <f>I237-K2*T237</f>
        <v>0.36099045407503055</v>
      </c>
      <c r="J238" s="40">
        <f>J237-K2*U237</f>
        <v>-0.33616741228386066</v>
      </c>
      <c r="K238" s="40">
        <f>K237-K2*V237</f>
        <v>-3.8564354258633755E-2</v>
      </c>
      <c r="L238" s="40">
        <f>L237-K2*W237</f>
        <v>0.98662160770161123</v>
      </c>
      <c r="M238" s="40">
        <f>M237-K2*X237</f>
        <v>0.73898216039767828</v>
      </c>
      <c r="N238" s="35">
        <f t="shared" si="80"/>
        <v>4.4540038797880577</v>
      </c>
      <c r="O238" s="35">
        <f t="shared" si="81"/>
        <v>0.98850184452752154</v>
      </c>
      <c r="P238" s="36">
        <f t="shared" si="82"/>
        <v>1</v>
      </c>
      <c r="Q238" s="36">
        <f t="shared" si="83"/>
        <v>-1.1498155472478455E-2</v>
      </c>
      <c r="R238" s="37">
        <f t="shared" si="84"/>
        <v>1.3220757926928626E-4</v>
      </c>
      <c r="T238" s="31">
        <f t="shared" si="85"/>
        <v>-2.6137487193641595E-4</v>
      </c>
      <c r="U238" s="31">
        <f t="shared" si="86"/>
        <v>-1.5682492316184957E-3</v>
      </c>
      <c r="V238" s="31">
        <f t="shared" si="87"/>
        <v>-7.0571215422832309E-4</v>
      </c>
      <c r="W238" s="31">
        <f t="shared" si="88"/>
        <v>-1.3330118468757213E-3</v>
      </c>
      <c r="X238" s="31">
        <f t="shared" si="89"/>
        <v>-4.1819979509826556E-4</v>
      </c>
    </row>
    <row r="239" spans="1:24" ht="14.25" customHeight="1" x14ac:dyDescent="0.3">
      <c r="A239" s="2"/>
      <c r="B239" s="38">
        <v>75</v>
      </c>
      <c r="C239" s="10">
        <v>5.4</v>
      </c>
      <c r="D239" s="11">
        <v>3</v>
      </c>
      <c r="E239" s="11">
        <v>4.5</v>
      </c>
      <c r="F239" s="11">
        <v>1.5</v>
      </c>
      <c r="G239" s="39">
        <v>1</v>
      </c>
      <c r="I239" s="38">
        <f>I238-K2*T238</f>
        <v>0.36101659156222421</v>
      </c>
      <c r="J239" s="40">
        <f>J238-K2*U238</f>
        <v>-0.33601058736069883</v>
      </c>
      <c r="K239" s="40">
        <f>K238-K2*V238</f>
        <v>-3.8493783043210925E-2</v>
      </c>
      <c r="L239" s="40">
        <f>L238-K2*W238</f>
        <v>0.9867549088862988</v>
      </c>
      <c r="M239" s="40">
        <f>M238-K2*X238</f>
        <v>0.73902398037718808</v>
      </c>
      <c r="N239" s="35">
        <f t="shared" si="80"/>
        <v>3.9800111312389448</v>
      </c>
      <c r="O239" s="35">
        <f t="shared" si="81"/>
        <v>0.9816573097350465</v>
      </c>
      <c r="P239" s="36">
        <f t="shared" si="82"/>
        <v>1</v>
      </c>
      <c r="Q239" s="36">
        <f t="shared" si="83"/>
        <v>-1.8342690264953498E-2</v>
      </c>
      <c r="R239" s="37">
        <f t="shared" si="84"/>
        <v>3.3645428615601986E-4</v>
      </c>
      <c r="T239" s="31">
        <f t="shared" si="85"/>
        <v>-6.6056561879348791E-4</v>
      </c>
      <c r="U239" s="31">
        <f t="shared" si="86"/>
        <v>-3.5670543414848348E-3</v>
      </c>
      <c r="V239" s="31">
        <f t="shared" si="87"/>
        <v>-1.9816968563804637E-3</v>
      </c>
      <c r="W239" s="31">
        <f t="shared" si="88"/>
        <v>-2.9725452845706956E-3</v>
      </c>
      <c r="X239" s="31">
        <f t="shared" si="89"/>
        <v>-9.9084842819023187E-4</v>
      </c>
    </row>
    <row r="240" spans="1:24" ht="14.25" customHeight="1" x14ac:dyDescent="0.3">
      <c r="A240" s="2"/>
      <c r="B240" s="38">
        <v>76</v>
      </c>
      <c r="C240" s="10">
        <v>6</v>
      </c>
      <c r="D240" s="11">
        <v>3.4</v>
      </c>
      <c r="E240" s="11">
        <v>4.5</v>
      </c>
      <c r="F240" s="11">
        <v>1.6</v>
      </c>
      <c r="G240" s="39">
        <v>1</v>
      </c>
      <c r="I240" s="38">
        <f>I239-K2*T239</f>
        <v>0.36108264812410357</v>
      </c>
      <c r="J240" s="40">
        <f>J239-K2*U239</f>
        <v>-0.33565388192655032</v>
      </c>
      <c r="K240" s="40">
        <f>K239-K2*V239</f>
        <v>-3.829561335757288E-2</v>
      </c>
      <c r="L240" s="40">
        <f>L239-K2*W239</f>
        <v>0.98705216341475588</v>
      </c>
      <c r="M240" s="40">
        <f>M239-K2*X239</f>
        <v>0.73912306522000715</v>
      </c>
      <c r="N240" s="35">
        <f t="shared" si="80"/>
        <v>3.8412859108674668</v>
      </c>
      <c r="O240" s="35">
        <f t="shared" si="81"/>
        <v>0.97898512464686172</v>
      </c>
      <c r="P240" s="36">
        <f t="shared" si="82"/>
        <v>1</v>
      </c>
      <c r="Q240" s="36">
        <f t="shared" si="83"/>
        <v>-2.1014875353138285E-2</v>
      </c>
      <c r="R240" s="37">
        <f t="shared" si="84"/>
        <v>4.4162498610793896E-4</v>
      </c>
      <c r="T240" s="31">
        <f t="shared" si="85"/>
        <v>-8.6468858414409839E-4</v>
      </c>
      <c r="U240" s="31">
        <f t="shared" si="86"/>
        <v>-5.1881315048645906E-3</v>
      </c>
      <c r="V240" s="31">
        <f t="shared" si="87"/>
        <v>-2.9399411860899344E-3</v>
      </c>
      <c r="W240" s="31">
        <f t="shared" si="88"/>
        <v>-3.8910986286484427E-3</v>
      </c>
      <c r="X240" s="31">
        <f t="shared" si="89"/>
        <v>-1.3835017346305574E-3</v>
      </c>
    </row>
    <row r="241" spans="1:24" ht="14.25" customHeight="1" x14ac:dyDescent="0.3">
      <c r="A241" s="2"/>
      <c r="B241" s="38">
        <v>77</v>
      </c>
      <c r="C241" s="10">
        <v>6.7</v>
      </c>
      <c r="D241" s="11">
        <v>3.1</v>
      </c>
      <c r="E241" s="11">
        <v>4.7</v>
      </c>
      <c r="F241" s="11">
        <v>1.5</v>
      </c>
      <c r="G241" s="39">
        <v>1</v>
      </c>
      <c r="I241" s="38">
        <f>I240-K2*T240</f>
        <v>0.36116911698251797</v>
      </c>
      <c r="J241" s="40">
        <f>J240-K2*U240</f>
        <v>-0.33513506877606386</v>
      </c>
      <c r="K241" s="40">
        <f>K240-K2*V240</f>
        <v>-3.8001619238963884E-2</v>
      </c>
      <c r="L241" s="40">
        <f>L240-K2*W240</f>
        <v>0.98744127327762077</v>
      </c>
      <c r="M241" s="40">
        <f>M240-K2*X240</f>
        <v>0.73926141539347023</v>
      </c>
      <c r="N241" s="35">
        <f t="shared" si="80"/>
        <v>3.7478252440371254</v>
      </c>
      <c r="O241" s="35">
        <f t="shared" si="81"/>
        <v>0.97697375741925496</v>
      </c>
      <c r="P241" s="36">
        <f t="shared" si="82"/>
        <v>1</v>
      </c>
      <c r="Q241" s="36">
        <f t="shared" si="83"/>
        <v>-2.3026242580745038E-2</v>
      </c>
      <c r="R241" s="37">
        <f t="shared" si="84"/>
        <v>5.302078473873159E-4</v>
      </c>
      <c r="T241" s="31">
        <f t="shared" si="85"/>
        <v>-1.0359983057503218E-3</v>
      </c>
      <c r="U241" s="31">
        <f t="shared" si="86"/>
        <v>-6.9411886485271556E-3</v>
      </c>
      <c r="V241" s="31">
        <f t="shared" si="87"/>
        <v>-3.2115947478259976E-3</v>
      </c>
      <c r="W241" s="31">
        <f t="shared" si="88"/>
        <v>-4.8691920370265125E-3</v>
      </c>
      <c r="X241" s="31">
        <f t="shared" si="89"/>
        <v>-1.5539974586254827E-3</v>
      </c>
    </row>
    <row r="242" spans="1:24" ht="14.25" customHeight="1" x14ac:dyDescent="0.3">
      <c r="A242" s="2"/>
      <c r="B242" s="38">
        <v>78</v>
      </c>
      <c r="C242" s="10">
        <v>6.3</v>
      </c>
      <c r="D242" s="11">
        <v>2.2999999999999998</v>
      </c>
      <c r="E242" s="11">
        <v>4.4000000000000004</v>
      </c>
      <c r="F242" s="11">
        <v>1.3</v>
      </c>
      <c r="G242" s="39">
        <v>1</v>
      </c>
      <c r="I242" s="38">
        <f>I241-K2*T241</f>
        <v>0.36127271681309298</v>
      </c>
      <c r="J242" s="40">
        <f>J241-K2*U241</f>
        <v>-0.33444094991121115</v>
      </c>
      <c r="K242" s="40">
        <f>K241-K2*V241</f>
        <v>-3.7680459764181287E-2</v>
      </c>
      <c r="L242" s="40">
        <f>L241-K2*W241</f>
        <v>0.98792819248132346</v>
      </c>
      <c r="M242" s="40">
        <f>M241-K2*X241</f>
        <v>0.73941681513933277</v>
      </c>
      <c r="N242" s="35">
        <f t="shared" si="80"/>
        <v>3.4757555815138024</v>
      </c>
      <c r="O242" s="35">
        <f t="shared" si="81"/>
        <v>0.96999001393758155</v>
      </c>
      <c r="P242" s="36">
        <f t="shared" si="82"/>
        <v>1</v>
      </c>
      <c r="Q242" s="36">
        <f t="shared" si="83"/>
        <v>-3.0009986062418448E-2</v>
      </c>
      <c r="R242" s="37">
        <f t="shared" si="84"/>
        <v>9.0059926346654944E-4</v>
      </c>
      <c r="T242" s="31">
        <f t="shared" si="85"/>
        <v>-1.7471445842441879E-3</v>
      </c>
      <c r="U242" s="31">
        <f t="shared" si="86"/>
        <v>-1.1007010880738384E-2</v>
      </c>
      <c r="V242" s="31">
        <f t="shared" si="87"/>
        <v>-4.0184325437616318E-3</v>
      </c>
      <c r="W242" s="31">
        <f t="shared" si="88"/>
        <v>-7.6874361706744275E-3</v>
      </c>
      <c r="X242" s="31">
        <f t="shared" si="89"/>
        <v>-2.2712879595174445E-3</v>
      </c>
    </row>
    <row r="243" spans="1:24" ht="14.25" customHeight="1" x14ac:dyDescent="0.3">
      <c r="A243" s="2"/>
      <c r="B243" s="38">
        <v>79</v>
      </c>
      <c r="C243" s="10">
        <v>5.6</v>
      </c>
      <c r="D243" s="11">
        <v>3</v>
      </c>
      <c r="E243" s="11">
        <v>4.0999999999999996</v>
      </c>
      <c r="F243" s="11">
        <v>1.3</v>
      </c>
      <c r="G243" s="39">
        <v>1</v>
      </c>
      <c r="I243" s="38">
        <f>I242-K2*T242</f>
        <v>0.36144743127151741</v>
      </c>
      <c r="J243" s="40">
        <f>J242-K2*U242</f>
        <v>-0.33334024882313729</v>
      </c>
      <c r="K243" s="40">
        <f>K242-K2*V242</f>
        <v>-3.7278616509805122E-2</v>
      </c>
      <c r="L243" s="40">
        <f>L242-K2*W242</f>
        <v>0.98869693609839093</v>
      </c>
      <c r="M243" s="40">
        <f>M242-K2*X242</f>
        <v>0.73964394393528454</v>
      </c>
      <c r="N243" s="35">
        <f t="shared" si="80"/>
        <v>3.3981007534518062</v>
      </c>
      <c r="O243" s="35">
        <f t="shared" si="81"/>
        <v>0.96764512640598133</v>
      </c>
      <c r="P243" s="36">
        <f t="shared" si="82"/>
        <v>1</v>
      </c>
      <c r="Q243" s="36">
        <f t="shared" si="83"/>
        <v>-3.2354873594018674E-2</v>
      </c>
      <c r="R243" s="37">
        <f t="shared" si="84"/>
        <v>1.0468378452849268E-3</v>
      </c>
      <c r="T243" s="31">
        <f t="shared" si="85"/>
        <v>-2.0259350782545964E-3</v>
      </c>
      <c r="U243" s="31">
        <f t="shared" si="86"/>
        <v>-1.1345236438225739E-2</v>
      </c>
      <c r="V243" s="31">
        <f t="shared" si="87"/>
        <v>-6.0778052347637886E-3</v>
      </c>
      <c r="W243" s="31">
        <f t="shared" si="88"/>
        <v>-8.3063338208438451E-3</v>
      </c>
      <c r="X243" s="31">
        <f t="shared" si="89"/>
        <v>-2.6337156017309754E-3</v>
      </c>
    </row>
    <row r="244" spans="1:24" ht="14.25" customHeight="1" x14ac:dyDescent="0.3">
      <c r="A244" s="2"/>
      <c r="B244" s="38">
        <v>80</v>
      </c>
      <c r="C244" s="10">
        <v>5.5</v>
      </c>
      <c r="D244" s="11">
        <v>2.5</v>
      </c>
      <c r="E244" s="11">
        <v>4</v>
      </c>
      <c r="F244" s="11">
        <v>1.3</v>
      </c>
      <c r="G244" s="39">
        <v>1</v>
      </c>
      <c r="H244" s="37">
        <f>SUMPRODUCT(--(P165:P244=G165:G244))/80</f>
        <v>0.97499999999999998</v>
      </c>
      <c r="I244" s="38">
        <f>I243-K2*T243</f>
        <v>0.36165002477934288</v>
      </c>
      <c r="J244" s="40">
        <f>J243-K2*U243</f>
        <v>-0.33220572517931474</v>
      </c>
      <c r="K244" s="40">
        <f>K243-K2*V243</f>
        <v>-3.6670835986328747E-2</v>
      </c>
      <c r="L244" s="40">
        <f>L243-K2*W243</f>
        <v>0.98952756948047527</v>
      </c>
      <c r="M244" s="40">
        <f>M243-K2*X243</f>
        <v>0.73990731549545763</v>
      </c>
      <c r="N244" s="35">
        <f t="shared" si="80"/>
        <v>3.362831234393286</v>
      </c>
      <c r="O244" s="35">
        <f t="shared" si="81"/>
        <v>0.96652250736205492</v>
      </c>
      <c r="P244" s="36">
        <f t="shared" si="82"/>
        <v>1</v>
      </c>
      <c r="Q244" s="36">
        <f t="shared" si="83"/>
        <v>-3.3477492637945083E-2</v>
      </c>
      <c r="R244" s="37">
        <f t="shared" si="84"/>
        <v>1.1207425133236673E-3</v>
      </c>
      <c r="S244">
        <f>AVERAGE(R165:R244)</f>
        <v>2.2989957133828679E-2</v>
      </c>
      <c r="T244" s="31">
        <f t="shared" si="85"/>
        <v>-2.1664457281696842E-3</v>
      </c>
      <c r="U244" s="31">
        <f t="shared" si="86"/>
        <v>-1.1915451504933262E-2</v>
      </c>
      <c r="V244" s="31">
        <f t="shared" si="87"/>
        <v>-5.4161143204242103E-3</v>
      </c>
      <c r="W244" s="31">
        <f t="shared" si="88"/>
        <v>-8.6657829126787368E-3</v>
      </c>
      <c r="X244" s="31">
        <f t="shared" si="89"/>
        <v>-2.8163794466205894E-3</v>
      </c>
    </row>
    <row r="245" spans="1:24" ht="14.25" customHeight="1" x14ac:dyDescent="0.3">
      <c r="A245" s="3"/>
      <c r="B245" s="38">
        <v>1</v>
      </c>
      <c r="C245" s="10">
        <v>5.0999999999999996</v>
      </c>
      <c r="D245" s="11">
        <v>3.5</v>
      </c>
      <c r="E245" s="11">
        <v>1.4</v>
      </c>
      <c r="F245" s="11">
        <v>0.2</v>
      </c>
      <c r="G245" s="39">
        <v>0</v>
      </c>
      <c r="I245" s="38">
        <f>I244-K2*T244</f>
        <v>0.36186666935215983</v>
      </c>
      <c r="J245" s="40">
        <f>J244-K2*U244</f>
        <v>-0.33101418002882144</v>
      </c>
      <c r="K245" s="40">
        <f>K244-K2*V244</f>
        <v>-3.6129224554286327E-2</v>
      </c>
      <c r="L245" s="40">
        <f>L244-K2*W244</f>
        <v>0.99039414777174317</v>
      </c>
      <c r="M245" s="40">
        <f>M244-K2*X244</f>
        <v>0.7401889534401197</v>
      </c>
      <c r="N245" s="35">
        <f t="shared" ref="N245:N276" si="90">I245+J245*C245+K245*D245+L245*E245+F245*M245</f>
        <v>8.1831662833632662E-2</v>
      </c>
      <c r="O245" s="35">
        <f t="shared" ref="O245:O276" si="91">1/(1+EXP(-N245))</f>
        <v>0.52044650711325391</v>
      </c>
      <c r="P245" s="36">
        <f t="shared" ref="P245:P276" si="92">IF(O245&gt;0.5,1,0)</f>
        <v>1</v>
      </c>
      <c r="Q245" s="36">
        <f t="shared" ref="Q245:Q276" si="93">O245-G245</f>
        <v>0.52044650711325391</v>
      </c>
      <c r="R245" s="37">
        <f t="shared" ref="R245:R276" si="94">Q245^2</f>
        <v>0.27086456676638626</v>
      </c>
      <c r="T245" s="31">
        <f t="shared" ref="T245:T276" si="95">2*(O245-G245)*(1-O245)*O245</f>
        <v>0.25978809818415155</v>
      </c>
      <c r="U245" s="31">
        <f t="shared" ref="U245:U276" si="96">2*(O245-G245)*(1-O245)*O245*C245</f>
        <v>1.3249193007391729</v>
      </c>
      <c r="V245" s="31">
        <f t="shared" ref="V245:V276" si="97">2*(O245-G245)*(1-O245)*O245*D245</f>
        <v>0.9092583436445304</v>
      </c>
      <c r="W245" s="31">
        <f t="shared" ref="W245:W276" si="98">2*(O245-G245)*(1-O245)*O245*E245</f>
        <v>0.36370333745781214</v>
      </c>
      <c r="X245" s="31">
        <f t="shared" ref="X245:X276" si="99">2*(O245-G245)*(1-O245)*O245*F245</f>
        <v>5.1957619636830314E-2</v>
      </c>
    </row>
    <row r="246" spans="1:24" ht="14.25" customHeight="1" x14ac:dyDescent="0.3">
      <c r="A246" s="3"/>
      <c r="B246" s="38">
        <v>2</v>
      </c>
      <c r="C246" s="10">
        <v>4.9000000000000004</v>
      </c>
      <c r="D246" s="11">
        <v>3</v>
      </c>
      <c r="E246" s="11">
        <v>1.4</v>
      </c>
      <c r="F246" s="11">
        <v>0.2</v>
      </c>
      <c r="G246" s="39">
        <v>0</v>
      </c>
      <c r="I246" s="38">
        <f>I245-K2*T245</f>
        <v>0.33588785953374467</v>
      </c>
      <c r="J246" s="40">
        <f>J245-K2*U245</f>
        <v>-0.46350611010273873</v>
      </c>
      <c r="K246" s="40">
        <f>K245-K2*V245</f>
        <v>-0.12705505891873936</v>
      </c>
      <c r="L246" s="40">
        <f>L245-K2*W245</f>
        <v>0.95402381402596192</v>
      </c>
      <c r="M246" s="40">
        <f>M245-K2*X245</f>
        <v>0.73499319147643671</v>
      </c>
      <c r="N246" s="35">
        <f t="shared" si="90"/>
        <v>-0.83382527879425961</v>
      </c>
      <c r="O246" s="35">
        <f t="shared" si="91"/>
        <v>0.30283684314507164</v>
      </c>
      <c r="P246" s="36">
        <f t="shared" si="92"/>
        <v>0</v>
      </c>
      <c r="Q246" s="36">
        <f t="shared" si="93"/>
        <v>0.30283684314507164</v>
      </c>
      <c r="R246" s="37">
        <f t="shared" si="94"/>
        <v>9.1710153566072733E-2</v>
      </c>
      <c r="T246" s="31">
        <f t="shared" si="95"/>
        <v>0.12787388035154704</v>
      </c>
      <c r="U246" s="31">
        <f t="shared" si="96"/>
        <v>0.62658201372258049</v>
      </c>
      <c r="V246" s="31">
        <f t="shared" si="97"/>
        <v>0.38362164105464114</v>
      </c>
      <c r="W246" s="31">
        <f t="shared" si="98"/>
        <v>0.17902343249216585</v>
      </c>
      <c r="X246" s="31">
        <f t="shared" si="99"/>
        <v>2.5574776070309408E-2</v>
      </c>
    </row>
    <row r="247" spans="1:24" ht="14.25" customHeight="1" x14ac:dyDescent="0.3">
      <c r="A247" s="3"/>
      <c r="B247" s="38">
        <v>3</v>
      </c>
      <c r="C247" s="10">
        <v>4.7</v>
      </c>
      <c r="D247" s="11">
        <v>3.2</v>
      </c>
      <c r="E247" s="11">
        <v>1.3</v>
      </c>
      <c r="F247" s="11">
        <v>0.2</v>
      </c>
      <c r="G247" s="39">
        <v>0</v>
      </c>
      <c r="I247" s="38">
        <f>I246-K2*T246</f>
        <v>0.32310047149858995</v>
      </c>
      <c r="J247" s="40">
        <f>J246-K2*U246</f>
        <v>-0.52616431147499676</v>
      </c>
      <c r="K247" s="40">
        <f>K246-K2*V246</f>
        <v>-0.16541722302420347</v>
      </c>
      <c r="L247" s="40">
        <f>L246-K2*W246</f>
        <v>0.93612147077674535</v>
      </c>
      <c r="M247" s="40">
        <f>M246-K2*X246</f>
        <v>0.73243571386940576</v>
      </c>
      <c r="N247" s="35">
        <f t="shared" si="90"/>
        <v>-1.3157618513276956</v>
      </c>
      <c r="O247" s="35">
        <f t="shared" si="91"/>
        <v>0.21152427516420194</v>
      </c>
      <c r="P247" s="36">
        <f t="shared" si="92"/>
        <v>0</v>
      </c>
      <c r="Q247" s="36">
        <f t="shared" si="93"/>
        <v>0.21152427516420194</v>
      </c>
      <c r="R247" s="37">
        <f t="shared" si="94"/>
        <v>4.4742518983741021E-2</v>
      </c>
      <c r="T247" s="31">
        <f t="shared" si="95"/>
        <v>7.0556780173369305E-2</v>
      </c>
      <c r="U247" s="31">
        <f t="shared" si="96"/>
        <v>0.33161686681483576</v>
      </c>
      <c r="V247" s="31">
        <f t="shared" si="97"/>
        <v>0.22578169655478178</v>
      </c>
      <c r="W247" s="31">
        <f t="shared" si="98"/>
        <v>9.1723814225380104E-2</v>
      </c>
      <c r="X247" s="31">
        <f t="shared" si="99"/>
        <v>1.4111356034673861E-2</v>
      </c>
    </row>
    <row r="248" spans="1:24" ht="14.25" customHeight="1" x14ac:dyDescent="0.3">
      <c r="A248" s="3"/>
      <c r="B248" s="38">
        <v>4</v>
      </c>
      <c r="C248" s="10">
        <v>4.5999999999999996</v>
      </c>
      <c r="D248" s="11">
        <v>3.1</v>
      </c>
      <c r="E248" s="11">
        <v>1.5</v>
      </c>
      <c r="F248" s="11">
        <v>0.2</v>
      </c>
      <c r="G248" s="39">
        <v>0</v>
      </c>
      <c r="I248" s="38">
        <f>I247-K2*T247</f>
        <v>0.31604479348125303</v>
      </c>
      <c r="J248" s="40">
        <f>J247-K2*U247</f>
        <v>-0.55932599815648032</v>
      </c>
      <c r="K248" s="40">
        <f>K247-K2*V247</f>
        <v>-0.18799539267968166</v>
      </c>
      <c r="L248" s="40">
        <f>L247-K2*W247</f>
        <v>0.92694908935420739</v>
      </c>
      <c r="M248" s="40">
        <f>M247-K2*X247</f>
        <v>0.73102457826593836</v>
      </c>
      <c r="N248" s="35">
        <f t="shared" si="90"/>
        <v>-1.3030119656610706</v>
      </c>
      <c r="O248" s="35">
        <f t="shared" si="91"/>
        <v>0.21365854448665036</v>
      </c>
      <c r="P248" s="36">
        <f t="shared" si="92"/>
        <v>0</v>
      </c>
      <c r="Q248" s="36">
        <f t="shared" si="93"/>
        <v>0.21365854448665036</v>
      </c>
      <c r="R248" s="37">
        <f t="shared" si="94"/>
        <v>4.5649973632153951E-2</v>
      </c>
      <c r="T248" s="31">
        <f t="shared" si="95"/>
        <v>7.1792933420107938E-2</v>
      </c>
      <c r="U248" s="31">
        <f t="shared" si="96"/>
        <v>0.33024749373249651</v>
      </c>
      <c r="V248" s="31">
        <f t="shared" si="97"/>
        <v>0.22255809360233461</v>
      </c>
      <c r="W248" s="31">
        <f t="shared" si="98"/>
        <v>0.1076894001301619</v>
      </c>
      <c r="X248" s="31">
        <f t="shared" si="99"/>
        <v>1.4358586684021589E-2</v>
      </c>
    </row>
    <row r="249" spans="1:24" ht="14.25" customHeight="1" x14ac:dyDescent="0.3">
      <c r="A249" s="3"/>
      <c r="B249" s="38">
        <v>5</v>
      </c>
      <c r="C249" s="10">
        <v>5</v>
      </c>
      <c r="D249" s="11">
        <v>3.6</v>
      </c>
      <c r="E249" s="11">
        <v>1.4</v>
      </c>
      <c r="F249" s="11">
        <v>0.2</v>
      </c>
      <c r="G249" s="39">
        <v>0</v>
      </c>
      <c r="I249" s="38">
        <f>I248-K2*T248</f>
        <v>0.30886550013924224</v>
      </c>
      <c r="J249" s="40">
        <f>J248-K2*U248</f>
        <v>-0.59235074752972994</v>
      </c>
      <c r="K249" s="40">
        <f>K248-K2*V248</f>
        <v>-0.21025120203991512</v>
      </c>
      <c r="L249" s="40">
        <f>L248-K2*W248</f>
        <v>0.91618014934119119</v>
      </c>
      <c r="M249" s="40">
        <f>M248-K2*X248</f>
        <v>0.72958871959753624</v>
      </c>
      <c r="N249" s="35">
        <f t="shared" si="90"/>
        <v>-1.9812226118559266</v>
      </c>
      <c r="O249" s="35">
        <f t="shared" si="91"/>
        <v>0.1211885670908931</v>
      </c>
      <c r="P249" s="36">
        <f t="shared" si="92"/>
        <v>0</v>
      </c>
      <c r="Q249" s="36">
        <f t="shared" si="93"/>
        <v>0.1211885670908931</v>
      </c>
      <c r="R249" s="37">
        <f t="shared" si="94"/>
        <v>1.4686668793543897E-2</v>
      </c>
      <c r="T249" s="31">
        <f t="shared" si="95"/>
        <v>2.5813624894231554E-2</v>
      </c>
      <c r="U249" s="31">
        <f t="shared" si="96"/>
        <v>0.12906812447115776</v>
      </c>
      <c r="V249" s="31">
        <f t="shared" si="97"/>
        <v>9.2929049619233595E-2</v>
      </c>
      <c r="W249" s="31">
        <f t="shared" si="98"/>
        <v>3.613907485192417E-2</v>
      </c>
      <c r="X249" s="31">
        <f t="shared" si="99"/>
        <v>5.1627249788463109E-3</v>
      </c>
    </row>
    <row r="250" spans="1:24" ht="14.25" customHeight="1" x14ac:dyDescent="0.3">
      <c r="A250" s="3"/>
      <c r="B250" s="38">
        <v>6</v>
      </c>
      <c r="C250" s="10">
        <v>5.4</v>
      </c>
      <c r="D250" s="11">
        <v>3.9</v>
      </c>
      <c r="E250" s="11">
        <v>1.7</v>
      </c>
      <c r="F250" s="11">
        <v>0.4</v>
      </c>
      <c r="G250" s="39">
        <v>0</v>
      </c>
      <c r="I250" s="38">
        <f>I249-K2*T249</f>
        <v>0.3062841376498191</v>
      </c>
      <c r="J250" s="40">
        <f>J249-K2*U249</f>
        <v>-0.60525755997684572</v>
      </c>
      <c r="K250" s="40">
        <f>K249-K2*V249</f>
        <v>-0.21954410700183849</v>
      </c>
      <c r="L250" s="40">
        <f>L249-K2*W249</f>
        <v>0.91256624185599877</v>
      </c>
      <c r="M250" s="40">
        <f>M249-K2*X249</f>
        <v>0.72907244709965158</v>
      </c>
      <c r="N250" s="35">
        <f t="shared" si="90"/>
        <v>-1.9753371135372595</v>
      </c>
      <c r="O250" s="35">
        <f t="shared" si="91"/>
        <v>0.12181678262365017</v>
      </c>
      <c r="P250" s="36">
        <f t="shared" si="92"/>
        <v>0</v>
      </c>
      <c r="Q250" s="36">
        <f t="shared" si="93"/>
        <v>0.12181678262365017</v>
      </c>
      <c r="R250" s="37">
        <f t="shared" si="94"/>
        <v>1.4839328528777639E-2</v>
      </c>
      <c r="T250" s="31">
        <f t="shared" si="95"/>
        <v>2.6063298542213207E-2</v>
      </c>
      <c r="U250" s="31">
        <f t="shared" si="96"/>
        <v>0.14074181212795134</v>
      </c>
      <c r="V250" s="31">
        <f t="shared" si="97"/>
        <v>0.1016468643146315</v>
      </c>
      <c r="W250" s="31">
        <f t="shared" si="98"/>
        <v>4.4307607521762452E-2</v>
      </c>
      <c r="X250" s="31">
        <f t="shared" si="99"/>
        <v>1.0425319416885284E-2</v>
      </c>
    </row>
    <row r="251" spans="1:24" ht="14.25" customHeight="1" x14ac:dyDescent="0.3">
      <c r="A251" s="3"/>
      <c r="B251" s="38">
        <v>7</v>
      </c>
      <c r="C251" s="10">
        <v>4.5999999999999996</v>
      </c>
      <c r="D251" s="11">
        <v>3.4</v>
      </c>
      <c r="E251" s="11">
        <v>1.4</v>
      </c>
      <c r="F251" s="11">
        <v>0.3</v>
      </c>
      <c r="G251" s="39">
        <v>0</v>
      </c>
      <c r="I251" s="38">
        <f>I250-K2*T250</f>
        <v>0.30367780779559778</v>
      </c>
      <c r="J251" s="40">
        <f>J250-K2*U250</f>
        <v>-0.61933174118964085</v>
      </c>
      <c r="K251" s="40">
        <f>K250-K2*V250</f>
        <v>-0.22970879343330164</v>
      </c>
      <c r="L251" s="40">
        <f>L250-K2*W250</f>
        <v>0.90813548110382247</v>
      </c>
      <c r="M251" s="40">
        <f>M250-K2*X250</f>
        <v>0.728029915157963</v>
      </c>
      <c r="N251" s="35">
        <f t="shared" si="90"/>
        <v>-1.8364594512572354</v>
      </c>
      <c r="O251" s="35">
        <f t="shared" si="91"/>
        <v>0.1374705653722775</v>
      </c>
      <c r="P251" s="36">
        <f t="shared" si="92"/>
        <v>0</v>
      </c>
      <c r="Q251" s="36">
        <f t="shared" si="93"/>
        <v>0.1374705653722775</v>
      </c>
      <c r="R251" s="37">
        <f t="shared" si="94"/>
        <v>1.8898156343773623E-2</v>
      </c>
      <c r="T251" s="31">
        <f t="shared" si="95"/>
        <v>3.2600432213402739E-2</v>
      </c>
      <c r="U251" s="31">
        <f t="shared" si="96"/>
        <v>0.14996198818165257</v>
      </c>
      <c r="V251" s="31">
        <f t="shared" si="97"/>
        <v>0.11084146952556931</v>
      </c>
      <c r="W251" s="31">
        <f t="shared" si="98"/>
        <v>4.5640605098763831E-2</v>
      </c>
      <c r="X251" s="31">
        <f t="shared" si="99"/>
        <v>9.7801296640208212E-3</v>
      </c>
    </row>
    <row r="252" spans="1:24" ht="14.25" customHeight="1" x14ac:dyDescent="0.3">
      <c r="A252" s="3"/>
      <c r="B252" s="38">
        <v>8</v>
      </c>
      <c r="C252" s="10">
        <v>5</v>
      </c>
      <c r="D252" s="11">
        <v>3.4</v>
      </c>
      <c r="E252" s="11">
        <v>1.5</v>
      </c>
      <c r="F252" s="11">
        <v>0.2</v>
      </c>
      <c r="G252" s="39">
        <v>0</v>
      </c>
      <c r="I252" s="38">
        <f>I251-K2*T251</f>
        <v>0.30041776457425751</v>
      </c>
      <c r="J252" s="40">
        <f>J251-K2*U251</f>
        <v>-0.63432794000780612</v>
      </c>
      <c r="K252" s="40">
        <f>K251-K2*V251</f>
        <v>-0.24079294038585858</v>
      </c>
      <c r="L252" s="40">
        <f>L251-K2*W251</f>
        <v>0.90357142059394613</v>
      </c>
      <c r="M252" s="40">
        <f>M251-K2*X251</f>
        <v>0.72705190219156091</v>
      </c>
      <c r="N252" s="35">
        <f t="shared" si="90"/>
        <v>-2.1891504214474611</v>
      </c>
      <c r="O252" s="35">
        <f t="shared" si="91"/>
        <v>0.10072902457266403</v>
      </c>
      <c r="P252" s="36">
        <f t="shared" si="92"/>
        <v>0</v>
      </c>
      <c r="Q252" s="36">
        <f t="shared" si="93"/>
        <v>0.10072902457266403</v>
      </c>
      <c r="R252" s="37">
        <f t="shared" si="94"/>
        <v>1.0146336391360353E-2</v>
      </c>
      <c r="T252" s="31">
        <f t="shared" si="95"/>
        <v>1.8248611647345002E-2</v>
      </c>
      <c r="U252" s="31">
        <f t="shared" si="96"/>
        <v>9.1243058236725016E-2</v>
      </c>
      <c r="V252" s="31">
        <f t="shared" si="97"/>
        <v>6.2045279600973002E-2</v>
      </c>
      <c r="W252" s="31">
        <f t="shared" si="98"/>
        <v>2.7372917471017503E-2</v>
      </c>
      <c r="X252" s="31">
        <f t="shared" si="99"/>
        <v>3.6497223294690005E-3</v>
      </c>
    </row>
    <row r="253" spans="1:24" ht="14.25" customHeight="1" x14ac:dyDescent="0.3">
      <c r="A253" s="3"/>
      <c r="B253" s="38">
        <v>9</v>
      </c>
      <c r="C253" s="10">
        <v>4.4000000000000004</v>
      </c>
      <c r="D253" s="11">
        <v>2.9</v>
      </c>
      <c r="E253" s="11">
        <v>1.4</v>
      </c>
      <c r="F253" s="11">
        <v>0.2</v>
      </c>
      <c r="G253" s="39">
        <v>0</v>
      </c>
      <c r="I253" s="38">
        <f>I252-K2*T252</f>
        <v>0.29859290340952299</v>
      </c>
      <c r="J253" s="40">
        <f>J252-K2*U252</f>
        <v>-0.64345224583147864</v>
      </c>
      <c r="K253" s="40">
        <f>K252-K2*V252</f>
        <v>-0.24699746834595587</v>
      </c>
      <c r="L253" s="40">
        <f>L252-K2*W252</f>
        <v>0.90083412884684433</v>
      </c>
      <c r="M253" s="40">
        <f>M252-K2*X252</f>
        <v>0.72668692995861406</v>
      </c>
      <c r="N253" s="35">
        <f t="shared" si="90"/>
        <v>-1.8423844700749505</v>
      </c>
      <c r="O253" s="35">
        <f t="shared" si="91"/>
        <v>0.13676952948906834</v>
      </c>
      <c r="P253" s="36">
        <f t="shared" si="92"/>
        <v>0</v>
      </c>
      <c r="Q253" s="36">
        <f t="shared" si="93"/>
        <v>0.13676952948906834</v>
      </c>
      <c r="R253" s="37">
        <f t="shared" si="94"/>
        <v>1.8705904196661134E-2</v>
      </c>
      <c r="T253" s="31">
        <f t="shared" si="95"/>
        <v>3.229501296203241E-2</v>
      </c>
      <c r="U253" s="31">
        <f t="shared" si="96"/>
        <v>0.14209805703294262</v>
      </c>
      <c r="V253" s="31">
        <f t="shared" si="97"/>
        <v>9.3655537589893992E-2</v>
      </c>
      <c r="W253" s="31">
        <f t="shared" si="98"/>
        <v>4.521301814684537E-2</v>
      </c>
      <c r="X253" s="31">
        <f t="shared" si="99"/>
        <v>6.4590025924064825E-3</v>
      </c>
    </row>
    <row r="254" spans="1:24" ht="14.25" customHeight="1" x14ac:dyDescent="0.3">
      <c r="A254" s="3"/>
      <c r="B254" s="38">
        <v>10</v>
      </c>
      <c r="C254" s="10">
        <v>4.9000000000000004</v>
      </c>
      <c r="D254" s="11">
        <v>3.1</v>
      </c>
      <c r="E254" s="11">
        <v>1.5</v>
      </c>
      <c r="F254" s="11">
        <v>0.1</v>
      </c>
      <c r="G254" s="39">
        <v>0</v>
      </c>
      <c r="I254" s="38">
        <f>I253-K2*T253</f>
        <v>0.29536340211331974</v>
      </c>
      <c r="J254" s="40">
        <f>J253-K2*U253</f>
        <v>-0.65766205153477286</v>
      </c>
      <c r="K254" s="40">
        <f>K253-K2*V253</f>
        <v>-0.25636302210494527</v>
      </c>
      <c r="L254" s="40">
        <f>L253-K2*W253</f>
        <v>0.89631282703215975</v>
      </c>
      <c r="M254" s="40">
        <f>M253-K2*X253</f>
        <v>0.72604102969937345</v>
      </c>
      <c r="N254" s="35">
        <f t="shared" si="90"/>
        <v>-2.3048326754142212</v>
      </c>
      <c r="O254" s="35">
        <f t="shared" si="91"/>
        <v>9.0723511008299479E-2</v>
      </c>
      <c r="P254" s="36">
        <f t="shared" si="92"/>
        <v>0</v>
      </c>
      <c r="Q254" s="36">
        <f t="shared" si="93"/>
        <v>9.0723511008299479E-2</v>
      </c>
      <c r="R254" s="37">
        <f t="shared" si="94"/>
        <v>8.230755449673036E-3</v>
      </c>
      <c r="T254" s="31">
        <f t="shared" si="95"/>
        <v>1.496806483405601E-2</v>
      </c>
      <c r="U254" s="31">
        <f t="shared" si="96"/>
        <v>7.3343517686874457E-2</v>
      </c>
      <c r="V254" s="31">
        <f t="shared" si="97"/>
        <v>4.6401000985573634E-2</v>
      </c>
      <c r="W254" s="31">
        <f t="shared" si="98"/>
        <v>2.2452097251084015E-2</v>
      </c>
      <c r="X254" s="31">
        <f t="shared" si="99"/>
        <v>1.496806483405601E-3</v>
      </c>
    </row>
    <row r="255" spans="1:24" ht="14.25" customHeight="1" x14ac:dyDescent="0.3">
      <c r="A255" s="3"/>
      <c r="B255" s="38">
        <v>11</v>
      </c>
      <c r="C255" s="10">
        <v>5.4</v>
      </c>
      <c r="D255" s="11">
        <v>3.7</v>
      </c>
      <c r="E255" s="11">
        <v>1.5</v>
      </c>
      <c r="F255" s="11">
        <v>0.2</v>
      </c>
      <c r="G255" s="39">
        <v>0</v>
      </c>
      <c r="I255" s="38">
        <f>I254-K2*T254</f>
        <v>0.29386659562991413</v>
      </c>
      <c r="J255" s="40">
        <f>J254-K2*U254</f>
        <v>-0.66499640330346033</v>
      </c>
      <c r="K255" s="40">
        <f>K254-K2*V254</f>
        <v>-0.26100312220350264</v>
      </c>
      <c r="L255" s="40">
        <f>L254-K2*W254</f>
        <v>0.89406761730705131</v>
      </c>
      <c r="M255" s="40">
        <f>M254-K2*X254</f>
        <v>0.72589134905103292</v>
      </c>
      <c r="N255" s="35">
        <f t="shared" si="90"/>
        <v>-2.7765458385909474</v>
      </c>
      <c r="O255" s="35">
        <f t="shared" si="91"/>
        <v>5.8604832389531361E-2</v>
      </c>
      <c r="P255" s="36">
        <f t="shared" si="92"/>
        <v>0</v>
      </c>
      <c r="Q255" s="36">
        <f t="shared" si="93"/>
        <v>5.8604832389531361E-2</v>
      </c>
      <c r="R255" s="37">
        <f t="shared" si="94"/>
        <v>3.434526379405064E-3</v>
      </c>
      <c r="T255" s="31">
        <f t="shared" si="95"/>
        <v>6.466493073205213E-3</v>
      </c>
      <c r="U255" s="31">
        <f t="shared" si="96"/>
        <v>3.4919062595308151E-2</v>
      </c>
      <c r="V255" s="31">
        <f t="shared" si="97"/>
        <v>2.3926024370859288E-2</v>
      </c>
      <c r="W255" s="31">
        <f t="shared" si="98"/>
        <v>9.6997396098078194E-3</v>
      </c>
      <c r="X255" s="31">
        <f t="shared" si="99"/>
        <v>1.2932986146410427E-3</v>
      </c>
    </row>
    <row r="256" spans="1:24" ht="14.25" customHeight="1" x14ac:dyDescent="0.3">
      <c r="A256" s="3"/>
      <c r="B256" s="38">
        <v>12</v>
      </c>
      <c r="C256" s="10">
        <v>4.8</v>
      </c>
      <c r="D256" s="11">
        <v>3.4</v>
      </c>
      <c r="E256" s="11">
        <v>1.6</v>
      </c>
      <c r="F256" s="11">
        <v>0.2</v>
      </c>
      <c r="G256" s="39">
        <v>0</v>
      </c>
      <c r="I256" s="38">
        <f>I255-K2*T255</f>
        <v>0.29321994632259363</v>
      </c>
      <c r="J256" s="40">
        <f>J255-K2*U255</f>
        <v>-0.6684883095629911</v>
      </c>
      <c r="K256" s="40">
        <f>K255-K2*V255</f>
        <v>-0.26339572464058858</v>
      </c>
      <c r="L256" s="40">
        <f>L255-K2*W255</f>
        <v>0.89309764334607056</v>
      </c>
      <c r="M256" s="40">
        <f>M255-K2*X255</f>
        <v>0.72576201918956884</v>
      </c>
      <c r="N256" s="35">
        <f t="shared" si="90"/>
        <v>-2.2369607701661378</v>
      </c>
      <c r="O256" s="35">
        <f t="shared" si="91"/>
        <v>9.6480151921002205E-2</v>
      </c>
      <c r="P256" s="36">
        <f t="shared" si="92"/>
        <v>0</v>
      </c>
      <c r="Q256" s="36">
        <f t="shared" si="93"/>
        <v>9.6480151921002205E-2</v>
      </c>
      <c r="R256" s="37">
        <f t="shared" si="94"/>
        <v>9.3084197146996658E-3</v>
      </c>
      <c r="T256" s="31">
        <f t="shared" si="95"/>
        <v>1.6820683932961978E-2</v>
      </c>
      <c r="U256" s="31">
        <f t="shared" si="96"/>
        <v>8.0739282878217494E-2</v>
      </c>
      <c r="V256" s="31">
        <f t="shared" si="97"/>
        <v>5.7190325372070722E-2</v>
      </c>
      <c r="W256" s="31">
        <f t="shared" si="98"/>
        <v>2.6913094292739165E-2</v>
      </c>
      <c r="X256" s="31">
        <f t="shared" si="99"/>
        <v>3.3641367865923956E-3</v>
      </c>
    </row>
    <row r="257" spans="1:24" ht="14.25" customHeight="1" x14ac:dyDescent="0.3">
      <c r="A257" s="3"/>
      <c r="B257" s="38">
        <v>13</v>
      </c>
      <c r="C257" s="10">
        <v>4.8</v>
      </c>
      <c r="D257" s="11">
        <v>3</v>
      </c>
      <c r="E257" s="11">
        <v>1.4</v>
      </c>
      <c r="F257" s="11">
        <v>0.1</v>
      </c>
      <c r="G257" s="39">
        <v>0</v>
      </c>
      <c r="I257" s="38">
        <f>I256-K2*T256</f>
        <v>0.29153787792929742</v>
      </c>
      <c r="J257" s="40">
        <f>J256-K2*U256</f>
        <v>-0.67656223785081282</v>
      </c>
      <c r="K257" s="40">
        <f>K256-K2*V256</f>
        <v>-0.26911475717779565</v>
      </c>
      <c r="L257" s="40">
        <f>L256-K2*W256</f>
        <v>0.89040633391679669</v>
      </c>
      <c r="M257" s="40">
        <f>M256-K2*X256</f>
        <v>0.72542560551090962</v>
      </c>
      <c r="N257" s="35">
        <f t="shared" si="90"/>
        <v>-2.4441937072533846</v>
      </c>
      <c r="O257" s="35">
        <f t="shared" si="91"/>
        <v>7.9864190322202863E-2</v>
      </c>
      <c r="P257" s="36">
        <f t="shared" si="92"/>
        <v>0</v>
      </c>
      <c r="Q257" s="36">
        <f t="shared" si="93"/>
        <v>7.9864190322202863E-2</v>
      </c>
      <c r="R257" s="37">
        <f t="shared" si="94"/>
        <v>6.3782888958210417E-3</v>
      </c>
      <c r="T257" s="31">
        <f t="shared" si="95"/>
        <v>1.1737784035030395E-2</v>
      </c>
      <c r="U257" s="31">
        <f t="shared" si="96"/>
        <v>5.6341363368145894E-2</v>
      </c>
      <c r="V257" s="31">
        <f t="shared" si="97"/>
        <v>3.5213352105091182E-2</v>
      </c>
      <c r="W257" s="31">
        <f t="shared" si="98"/>
        <v>1.6432897649042551E-2</v>
      </c>
      <c r="X257" s="31">
        <f t="shared" si="99"/>
        <v>1.1737784035030395E-3</v>
      </c>
    </row>
    <row r="258" spans="1:24" ht="14.25" customHeight="1" x14ac:dyDescent="0.3">
      <c r="A258" s="3"/>
      <c r="B258" s="38">
        <v>14</v>
      </c>
      <c r="C258" s="10">
        <v>4.3</v>
      </c>
      <c r="D258" s="11">
        <v>3</v>
      </c>
      <c r="E258" s="11">
        <v>1.1000000000000001</v>
      </c>
      <c r="F258" s="11">
        <v>0.1</v>
      </c>
      <c r="G258" s="39">
        <v>0</v>
      </c>
      <c r="I258" s="38">
        <f>I257-K2*T257</f>
        <v>0.29036409952579439</v>
      </c>
      <c r="J258" s="40">
        <f>J257-K2*U257</f>
        <v>-0.68219637418762746</v>
      </c>
      <c r="K258" s="40">
        <f>K257-K2*V257</f>
        <v>-0.27263609238830477</v>
      </c>
      <c r="L258" s="40">
        <f>L257-K2*W257</f>
        <v>0.88876304415189245</v>
      </c>
      <c r="M258" s="40">
        <f>M257-K2*X257</f>
        <v>0.72530822767055936</v>
      </c>
      <c r="N258" s="35">
        <f t="shared" si="90"/>
        <v>-2.41081841531178</v>
      </c>
      <c r="O258" s="35">
        <f t="shared" si="91"/>
        <v>8.2351449594037479E-2</v>
      </c>
      <c r="P258" s="36">
        <f t="shared" si="92"/>
        <v>0</v>
      </c>
      <c r="Q258" s="36">
        <f t="shared" si="93"/>
        <v>8.2351449594037479E-2</v>
      </c>
      <c r="R258" s="37">
        <f t="shared" si="94"/>
        <v>6.7817612502392953E-3</v>
      </c>
      <c r="T258" s="31">
        <f t="shared" si="95"/>
        <v>1.2446546760962835E-2</v>
      </c>
      <c r="U258" s="31">
        <f t="shared" si="96"/>
        <v>5.3520151072140192E-2</v>
      </c>
      <c r="V258" s="31">
        <f t="shared" si="97"/>
        <v>3.7339640282888505E-2</v>
      </c>
      <c r="W258" s="31">
        <f t="shared" si="98"/>
        <v>1.369120143705912E-2</v>
      </c>
      <c r="X258" s="31">
        <f t="shared" si="99"/>
        <v>1.2446546760962835E-3</v>
      </c>
    </row>
    <row r="259" spans="1:24" ht="14.25" customHeight="1" x14ac:dyDescent="0.3">
      <c r="A259" s="3"/>
      <c r="B259" s="38">
        <v>15</v>
      </c>
      <c r="C259" s="10">
        <v>5.8</v>
      </c>
      <c r="D259" s="11">
        <v>4</v>
      </c>
      <c r="E259" s="11">
        <v>1.2</v>
      </c>
      <c r="F259" s="11">
        <v>0.2</v>
      </c>
      <c r="G259" s="39">
        <v>0</v>
      </c>
      <c r="I259" s="38">
        <f>I258-K2*T258</f>
        <v>0.28911944484969809</v>
      </c>
      <c r="J259" s="40">
        <f>J258-K2*U258</f>
        <v>-0.68754838929484152</v>
      </c>
      <c r="K259" s="40">
        <f>K258-K2*V258</f>
        <v>-0.27637005641659362</v>
      </c>
      <c r="L259" s="40">
        <f>L258-K2*W258</f>
        <v>0.88739392400818651</v>
      </c>
      <c r="M259" s="40">
        <f>M258-K2*X258</f>
        <v>0.72518376220294978</v>
      </c>
      <c r="N259" s="35">
        <f t="shared" si="90"/>
        <v>-3.5942319774763432</v>
      </c>
      <c r="O259" s="35">
        <f t="shared" si="91"/>
        <v>2.674673380073769E-2</v>
      </c>
      <c r="P259" s="36">
        <f t="shared" si="92"/>
        <v>0</v>
      </c>
      <c r="Q259" s="36">
        <f t="shared" si="93"/>
        <v>2.674673380073769E-2</v>
      </c>
      <c r="R259" s="37">
        <f t="shared" si="94"/>
        <v>7.1538776900752405E-4</v>
      </c>
      <c r="T259" s="31">
        <f t="shared" si="95"/>
        <v>1.3925069655711525E-3</v>
      </c>
      <c r="U259" s="31">
        <f t="shared" si="96"/>
        <v>8.0765404003126842E-3</v>
      </c>
      <c r="V259" s="31">
        <f t="shared" si="97"/>
        <v>5.57002786228461E-3</v>
      </c>
      <c r="W259" s="31">
        <f t="shared" si="98"/>
        <v>1.6710083586853829E-3</v>
      </c>
      <c r="X259" s="31">
        <f t="shared" si="99"/>
        <v>2.7850139311423052E-4</v>
      </c>
    </row>
    <row r="260" spans="1:24" ht="14.25" customHeight="1" x14ac:dyDescent="0.3">
      <c r="A260" s="3"/>
      <c r="B260" s="38">
        <v>16</v>
      </c>
      <c r="C260" s="10">
        <v>5.7</v>
      </c>
      <c r="D260" s="11">
        <v>4.4000000000000004</v>
      </c>
      <c r="E260" s="11">
        <v>1.5</v>
      </c>
      <c r="F260" s="11">
        <v>0.4</v>
      </c>
      <c r="G260" s="39">
        <v>0</v>
      </c>
      <c r="I260" s="38">
        <f>I259-K2*T259</f>
        <v>0.28898019415314097</v>
      </c>
      <c r="J260" s="40">
        <f>J259-K2*U259</f>
        <v>-0.68835604333487277</v>
      </c>
      <c r="K260" s="40">
        <f>K259-K2*V259</f>
        <v>-0.27692705920282207</v>
      </c>
      <c r="L260" s="40">
        <f>L259-K2*W259</f>
        <v>0.88722682317231794</v>
      </c>
      <c r="M260" s="40">
        <f>M259-K2*X259</f>
        <v>0.72515591206363839</v>
      </c>
      <c r="N260" s="35">
        <f t="shared" si="90"/>
        <v>-3.232225713764119</v>
      </c>
      <c r="O260" s="35">
        <f t="shared" si="91"/>
        <v>3.7970860148154532E-2</v>
      </c>
      <c r="P260" s="36">
        <f t="shared" si="92"/>
        <v>0</v>
      </c>
      <c r="Q260" s="36">
        <f t="shared" si="93"/>
        <v>3.7970860148154532E-2</v>
      </c>
      <c r="R260" s="37">
        <f t="shared" si="94"/>
        <v>1.44178622039071E-3</v>
      </c>
      <c r="T260" s="31">
        <f t="shared" si="95"/>
        <v>2.774080714905436E-3</v>
      </c>
      <c r="U260" s="31">
        <f t="shared" si="96"/>
        <v>1.5812260074960987E-2</v>
      </c>
      <c r="V260" s="31">
        <f t="shared" si="97"/>
        <v>1.2205955145583919E-2</v>
      </c>
      <c r="W260" s="31">
        <f t="shared" si="98"/>
        <v>4.1611210723581545E-3</v>
      </c>
      <c r="X260" s="31">
        <f t="shared" si="99"/>
        <v>1.1096322859621744E-3</v>
      </c>
    </row>
    <row r="261" spans="1:24" ht="14.25" customHeight="1" x14ac:dyDescent="0.3">
      <c r="A261" s="3"/>
      <c r="B261" s="38">
        <v>17</v>
      </c>
      <c r="C261" s="10">
        <v>5.4</v>
      </c>
      <c r="D261" s="11">
        <v>3.9</v>
      </c>
      <c r="E261" s="11">
        <v>1.3</v>
      </c>
      <c r="F261" s="11">
        <v>0.4</v>
      </c>
      <c r="G261" s="39">
        <v>0</v>
      </c>
      <c r="I261" s="38">
        <f>I260-K2*T260</f>
        <v>0.2887027860816504</v>
      </c>
      <c r="J261" s="40">
        <f>J260-K2*U260</f>
        <v>-0.68993726934236888</v>
      </c>
      <c r="K261" s="40">
        <f>K260-K2*V260</f>
        <v>-0.27814765471738045</v>
      </c>
      <c r="L261" s="40">
        <f>L260-K2*W260</f>
        <v>0.88681071106508214</v>
      </c>
      <c r="M261" s="40">
        <f>M260-K2*X260</f>
        <v>0.72504494883504211</v>
      </c>
      <c r="N261" s="35">
        <f t="shared" si="90"/>
        <v>-3.0788624178463029</v>
      </c>
      <c r="O261" s="35">
        <f t="shared" si="91"/>
        <v>4.3987629008545817E-2</v>
      </c>
      <c r="P261" s="36">
        <f t="shared" si="92"/>
        <v>0</v>
      </c>
      <c r="Q261" s="36">
        <f t="shared" si="93"/>
        <v>4.3987629008545817E-2</v>
      </c>
      <c r="R261" s="37">
        <f t="shared" si="94"/>
        <v>1.9349115057934615E-3</v>
      </c>
      <c r="T261" s="31">
        <f t="shared" si="95"/>
        <v>3.699598672624504E-3</v>
      </c>
      <c r="U261" s="31">
        <f t="shared" si="96"/>
        <v>1.9977832832172322E-2</v>
      </c>
      <c r="V261" s="31">
        <f t="shared" si="97"/>
        <v>1.4428434823235565E-2</v>
      </c>
      <c r="W261" s="31">
        <f t="shared" si="98"/>
        <v>4.8094782744118551E-3</v>
      </c>
      <c r="X261" s="31">
        <f t="shared" si="99"/>
        <v>1.4798394690498018E-3</v>
      </c>
    </row>
    <row r="262" spans="1:24" ht="14.25" customHeight="1" x14ac:dyDescent="0.3">
      <c r="A262" s="3"/>
      <c r="B262" s="38">
        <v>18</v>
      </c>
      <c r="C262" s="10">
        <v>5.0999999999999996</v>
      </c>
      <c r="D262" s="11">
        <v>3.5</v>
      </c>
      <c r="E262" s="11">
        <v>1.4</v>
      </c>
      <c r="F262" s="11">
        <v>0.3</v>
      </c>
      <c r="G262" s="39">
        <v>0</v>
      </c>
      <c r="I262" s="38">
        <f>I261-K2*T261</f>
        <v>0.28833282621438794</v>
      </c>
      <c r="J262" s="40">
        <f>J261-K2*U261</f>
        <v>-0.69193505262558608</v>
      </c>
      <c r="K262" s="40">
        <f>K261-K2*V261</f>
        <v>-0.279590498199704</v>
      </c>
      <c r="L262" s="40">
        <f>L261-K2*W261</f>
        <v>0.8863297632376409</v>
      </c>
      <c r="M262" s="40">
        <f>M261-K2*X261</f>
        <v>0.72489696488813715</v>
      </c>
      <c r="N262" s="35">
        <f t="shared" si="90"/>
        <v>-2.760771927875926</v>
      </c>
      <c r="O262" s="35">
        <f t="shared" si="91"/>
        <v>5.9481167205866117E-2</v>
      </c>
      <c r="P262" s="36">
        <f t="shared" si="92"/>
        <v>0</v>
      </c>
      <c r="Q262" s="36">
        <f t="shared" si="93"/>
        <v>5.9481167205866117E-2</v>
      </c>
      <c r="R262" s="37">
        <f t="shared" si="94"/>
        <v>3.5380092521722028E-3</v>
      </c>
      <c r="T262" s="31">
        <f t="shared" si="95"/>
        <v>6.6551286645356927E-3</v>
      </c>
      <c r="U262" s="31">
        <f t="shared" si="96"/>
        <v>3.394115618913203E-2</v>
      </c>
      <c r="V262" s="31">
        <f t="shared" si="97"/>
        <v>2.3292950325874924E-2</v>
      </c>
      <c r="W262" s="31">
        <f t="shared" si="98"/>
        <v>9.31718013034997E-3</v>
      </c>
      <c r="X262" s="31">
        <f t="shared" si="99"/>
        <v>1.9965385993607077E-3</v>
      </c>
    </row>
    <row r="263" spans="1:24" ht="14.25" customHeight="1" x14ac:dyDescent="0.3">
      <c r="A263" s="3"/>
      <c r="B263" s="38">
        <v>19</v>
      </c>
      <c r="C263" s="10">
        <v>5.7</v>
      </c>
      <c r="D263" s="11">
        <v>3.8</v>
      </c>
      <c r="E263" s="11">
        <v>1.7</v>
      </c>
      <c r="F263" s="11">
        <v>0.3</v>
      </c>
      <c r="G263" s="39">
        <v>0</v>
      </c>
      <c r="I263" s="38">
        <f>I262-K2*T262</f>
        <v>0.28766731334793438</v>
      </c>
      <c r="J263" s="40">
        <f>J262-K2*U262</f>
        <v>-0.69532916824449931</v>
      </c>
      <c r="K263" s="40">
        <f>K262-K2*V262</f>
        <v>-0.28191979323229149</v>
      </c>
      <c r="L263" s="40">
        <f>L262-K2*W262</f>
        <v>0.88539804522460586</v>
      </c>
      <c r="M263" s="40">
        <f>M262-K2*X262</f>
        <v>0.72469731102820112</v>
      </c>
      <c r="N263" s="35">
        <f t="shared" si="90"/>
        <v>-3.0244182897381289</v>
      </c>
      <c r="O263" s="35">
        <f t="shared" si="91"/>
        <v>4.6334847638145896E-2</v>
      </c>
      <c r="P263" s="36">
        <f t="shared" si="92"/>
        <v>0</v>
      </c>
      <c r="Q263" s="36">
        <f t="shared" si="93"/>
        <v>4.6334847638145896E-2</v>
      </c>
      <c r="R263" s="37">
        <f t="shared" si="94"/>
        <v>2.1469181056501942E-3</v>
      </c>
      <c r="T263" s="31">
        <f t="shared" si="95"/>
        <v>4.0948819646666312E-3</v>
      </c>
      <c r="U263" s="31">
        <f t="shared" si="96"/>
        <v>2.3340827198599798E-2</v>
      </c>
      <c r="V263" s="31">
        <f t="shared" si="97"/>
        <v>1.5560551465733197E-2</v>
      </c>
      <c r="W263" s="31">
        <f t="shared" si="98"/>
        <v>6.9612993399332732E-3</v>
      </c>
      <c r="X263" s="31">
        <f t="shared" si="99"/>
        <v>1.2284645893999894E-3</v>
      </c>
    </row>
    <row r="264" spans="1:24" ht="14.25" customHeight="1" x14ac:dyDescent="0.3">
      <c r="A264" s="3"/>
      <c r="B264" s="38">
        <v>20</v>
      </c>
      <c r="C264" s="10">
        <v>5.0999999999999996</v>
      </c>
      <c r="D264" s="11">
        <v>3.8</v>
      </c>
      <c r="E264" s="11">
        <v>1.5</v>
      </c>
      <c r="F264" s="11">
        <v>0.3</v>
      </c>
      <c r="G264" s="39">
        <v>0</v>
      </c>
      <c r="I264" s="38">
        <f>I263-K2*T263</f>
        <v>0.28725782515146769</v>
      </c>
      <c r="J264" s="40">
        <f>J263-K2*U263</f>
        <v>-0.69766325096435933</v>
      </c>
      <c r="K264" s="40">
        <f>K263-K2*V263</f>
        <v>-0.2834758483788648</v>
      </c>
      <c r="L264" s="40">
        <f>L263-K2*W263</f>
        <v>0.88470191529061248</v>
      </c>
      <c r="M264" s="40">
        <f>M263-K2*X263</f>
        <v>0.72457446456926111</v>
      </c>
      <c r="N264" s="35">
        <f t="shared" si="90"/>
        <v>-2.8036077662997538</v>
      </c>
      <c r="O264" s="35">
        <f t="shared" si="91"/>
        <v>5.7129530083844707E-2</v>
      </c>
      <c r="P264" s="36">
        <f t="shared" si="92"/>
        <v>0</v>
      </c>
      <c r="Q264" s="36">
        <f t="shared" si="93"/>
        <v>5.7129530083844707E-2</v>
      </c>
      <c r="R264" s="37">
        <f t="shared" si="94"/>
        <v>3.2637832076009175E-3</v>
      </c>
      <c r="T264" s="31">
        <f t="shared" si="95"/>
        <v>6.1546496133102679E-3</v>
      </c>
      <c r="U264" s="31">
        <f t="shared" si="96"/>
        <v>3.1388713027882362E-2</v>
      </c>
      <c r="V264" s="31">
        <f t="shared" si="97"/>
        <v>2.3387668530579019E-2</v>
      </c>
      <c r="W264" s="31">
        <f t="shared" si="98"/>
        <v>9.2319744199654014E-3</v>
      </c>
      <c r="X264" s="31">
        <f t="shared" si="99"/>
        <v>1.8463948839930802E-3</v>
      </c>
    </row>
    <row r="265" spans="1:24" ht="14.25" customHeight="1" x14ac:dyDescent="0.3">
      <c r="A265" s="3"/>
      <c r="B265" s="38">
        <v>21</v>
      </c>
      <c r="C265" s="10">
        <v>5.4</v>
      </c>
      <c r="D265" s="11">
        <v>3.4</v>
      </c>
      <c r="E265" s="11">
        <v>1.7</v>
      </c>
      <c r="F265" s="11">
        <v>0.2</v>
      </c>
      <c r="G265" s="39">
        <v>0</v>
      </c>
      <c r="I265" s="38">
        <f>I264-K2*T264</f>
        <v>0.28664236019013667</v>
      </c>
      <c r="J265" s="40">
        <f>J264-K2*U264</f>
        <v>-0.70080212226714755</v>
      </c>
      <c r="K265" s="40">
        <f>K264-K2*V264</f>
        <v>-0.2858146152319227</v>
      </c>
      <c r="L265" s="40">
        <f>L264-K2*W264</f>
        <v>0.88377871784861595</v>
      </c>
      <c r="M265" s="40">
        <f>M264-K2*X264</f>
        <v>0.7243898250808618</v>
      </c>
      <c r="N265" s="35">
        <f t="shared" si="90"/>
        <v>-2.8221570064821782</v>
      </c>
      <c r="O265" s="35">
        <f t="shared" si="91"/>
        <v>5.6138530792748012E-2</v>
      </c>
      <c r="P265" s="36">
        <f t="shared" si="92"/>
        <v>0</v>
      </c>
      <c r="Q265" s="36">
        <f t="shared" si="93"/>
        <v>5.6138530792748012E-2</v>
      </c>
      <c r="R265" s="37">
        <f t="shared" si="94"/>
        <v>3.1515346395683168E-3</v>
      </c>
      <c r="T265" s="31">
        <f t="shared" si="95"/>
        <v>5.949224230320997E-3</v>
      </c>
      <c r="U265" s="31">
        <f t="shared" si="96"/>
        <v>3.2125810843733386E-2</v>
      </c>
      <c r="V265" s="31">
        <f t="shared" si="97"/>
        <v>2.0227362383091391E-2</v>
      </c>
      <c r="W265" s="31">
        <f t="shared" si="98"/>
        <v>1.0113681191545695E-2</v>
      </c>
      <c r="X265" s="31">
        <f t="shared" si="99"/>
        <v>1.1898448460641994E-3</v>
      </c>
    </row>
    <row r="266" spans="1:24" ht="14.25" customHeight="1" x14ac:dyDescent="0.3">
      <c r="A266" s="3"/>
      <c r="B266" s="38">
        <v>22</v>
      </c>
      <c r="C266" s="10">
        <v>5.0999999999999996</v>
      </c>
      <c r="D266" s="11">
        <v>3.7</v>
      </c>
      <c r="E266" s="11">
        <v>1.5</v>
      </c>
      <c r="F266" s="11">
        <v>0.4</v>
      </c>
      <c r="G266" s="39">
        <v>0</v>
      </c>
      <c r="I266" s="38">
        <f>I265-K2*T265</f>
        <v>0.28604743776710456</v>
      </c>
      <c r="J266" s="40">
        <f>J265-K2*U265</f>
        <v>-0.70401470335152094</v>
      </c>
      <c r="K266" s="40">
        <f>K265-K2*V265</f>
        <v>-0.28783735147023182</v>
      </c>
      <c r="L266" s="40">
        <f>L265-K2*W265</f>
        <v>0.88276734972946136</v>
      </c>
      <c r="M266" s="40">
        <f>M265-K2*X265</f>
        <v>0.72427084059625535</v>
      </c>
      <c r="N266" s="35">
        <f t="shared" si="90"/>
        <v>-2.7555663889328157</v>
      </c>
      <c r="O266" s="35">
        <f t="shared" si="91"/>
        <v>5.9773050161963895E-2</v>
      </c>
      <c r="P266" s="36">
        <f t="shared" si="92"/>
        <v>0</v>
      </c>
      <c r="Q266" s="36">
        <f t="shared" si="93"/>
        <v>5.9773050161963895E-2</v>
      </c>
      <c r="R266" s="37">
        <f t="shared" si="94"/>
        <v>3.5728175256646518E-3</v>
      </c>
      <c r="T266" s="31">
        <f t="shared" si="95"/>
        <v>6.7185186489671107E-3</v>
      </c>
      <c r="U266" s="31">
        <f t="shared" si="96"/>
        <v>3.4264445109732262E-2</v>
      </c>
      <c r="V266" s="31">
        <f t="shared" si="97"/>
        <v>2.485851900117831E-2</v>
      </c>
      <c r="W266" s="31">
        <f t="shared" si="98"/>
        <v>1.0077777973450667E-2</v>
      </c>
      <c r="X266" s="31">
        <f t="shared" si="99"/>
        <v>2.6874074595868444E-3</v>
      </c>
    </row>
    <row r="267" spans="1:24" ht="14.25" customHeight="1" x14ac:dyDescent="0.3">
      <c r="A267" s="3"/>
      <c r="B267" s="38">
        <v>23</v>
      </c>
      <c r="C267" s="10">
        <v>4.5999999999999996</v>
      </c>
      <c r="D267" s="11">
        <v>3.6</v>
      </c>
      <c r="E267" s="11">
        <v>1</v>
      </c>
      <c r="F267" s="11">
        <v>0.2</v>
      </c>
      <c r="G267" s="39">
        <v>0</v>
      </c>
      <c r="I267" s="38">
        <f>I266-K2*T266</f>
        <v>0.28537558590220785</v>
      </c>
      <c r="J267" s="40">
        <f>J266-K2*U266</f>
        <v>-0.70744114786249412</v>
      </c>
      <c r="K267" s="40">
        <f>K266-K2*V266</f>
        <v>-0.29032320337034967</v>
      </c>
      <c r="L267" s="40">
        <f>L266-K2*W266</f>
        <v>0.88175957193211629</v>
      </c>
      <c r="M267" s="40">
        <f>M266-K2*X266</f>
        <v>0.72400209985029662</v>
      </c>
      <c r="N267" s="35">
        <f t="shared" si="90"/>
        <v>-2.9874572344963481</v>
      </c>
      <c r="O267" s="35">
        <f t="shared" si="91"/>
        <v>4.7995740827281252E-2</v>
      </c>
      <c r="P267" s="36">
        <f t="shared" si="92"/>
        <v>0</v>
      </c>
      <c r="Q267" s="36">
        <f t="shared" si="93"/>
        <v>4.7995740827281252E-2</v>
      </c>
      <c r="R267" s="37">
        <f t="shared" si="94"/>
        <v>2.3035911375595525E-3</v>
      </c>
      <c r="T267" s="31">
        <f t="shared" si="95"/>
        <v>4.3860571486984438E-3</v>
      </c>
      <c r="U267" s="31">
        <f t="shared" si="96"/>
        <v>2.0175862884012841E-2</v>
      </c>
      <c r="V267" s="31">
        <f t="shared" si="97"/>
        <v>1.5789805735314397E-2</v>
      </c>
      <c r="W267" s="31">
        <f t="shared" si="98"/>
        <v>4.3860571486984438E-3</v>
      </c>
      <c r="X267" s="31">
        <f t="shared" si="99"/>
        <v>8.7721142973968885E-4</v>
      </c>
    </row>
    <row r="268" spans="1:24" ht="14.25" customHeight="1" x14ac:dyDescent="0.3">
      <c r="A268" s="3"/>
      <c r="B268" s="38">
        <v>24</v>
      </c>
      <c r="C268" s="10">
        <v>5.0999999999999996</v>
      </c>
      <c r="D268" s="11">
        <v>3.3</v>
      </c>
      <c r="E268" s="11">
        <v>1.7</v>
      </c>
      <c r="F268" s="11">
        <v>0.5</v>
      </c>
      <c r="G268" s="39">
        <v>0</v>
      </c>
      <c r="I268" s="38">
        <f>I267-K2*T267</f>
        <v>0.28493698018733798</v>
      </c>
      <c r="J268" s="40">
        <f>J267-K2*U267</f>
        <v>-0.70945873415089544</v>
      </c>
      <c r="K268" s="40">
        <f>K267-K2*V267</f>
        <v>-0.29190218394388112</v>
      </c>
      <c r="L268" s="40">
        <f>L267-K2*W267</f>
        <v>0.88132096621724643</v>
      </c>
      <c r="M268" s="40">
        <f>M267-K2*X267</f>
        <v>0.72391437870732267</v>
      </c>
      <c r="N268" s="35">
        <f t="shared" si="90"/>
        <v>-2.4363769390740559</v>
      </c>
      <c r="O268" s="35">
        <f t="shared" si="91"/>
        <v>8.044050231227004E-2</v>
      </c>
      <c r="P268" s="36">
        <f t="shared" si="92"/>
        <v>0</v>
      </c>
      <c r="Q268" s="36">
        <f t="shared" si="93"/>
        <v>8.044050231227004E-2</v>
      </c>
      <c r="R268" s="37">
        <f t="shared" si="94"/>
        <v>6.4706744122503216E-3</v>
      </c>
      <c r="T268" s="31">
        <f t="shared" si="95"/>
        <v>1.1900340224459505E-2</v>
      </c>
      <c r="U268" s="31">
        <f t="shared" si="96"/>
        <v>6.0691735144743471E-2</v>
      </c>
      <c r="V268" s="31">
        <f t="shared" si="97"/>
        <v>3.9271122740716369E-2</v>
      </c>
      <c r="W268" s="31">
        <f t="shared" si="98"/>
        <v>2.0230578381581158E-2</v>
      </c>
      <c r="X268" s="31">
        <f t="shared" si="99"/>
        <v>5.9501701122297527E-3</v>
      </c>
    </row>
    <row r="269" spans="1:24" ht="14.25" customHeight="1" x14ac:dyDescent="0.3">
      <c r="A269" s="3"/>
      <c r="B269" s="38">
        <v>25</v>
      </c>
      <c r="C269" s="10">
        <v>4.8</v>
      </c>
      <c r="D269" s="11">
        <v>3.4</v>
      </c>
      <c r="E269" s="11">
        <v>1.9</v>
      </c>
      <c r="F269" s="11">
        <v>0.2</v>
      </c>
      <c r="G269" s="39">
        <v>0</v>
      </c>
      <c r="I269" s="38">
        <f>I268-K2*T268</f>
        <v>0.28374694616489204</v>
      </c>
      <c r="J269" s="40">
        <f>J268-K2*U268</f>
        <v>-0.71552790766536978</v>
      </c>
      <c r="K269" s="40">
        <f>K268-K2*V268</f>
        <v>-0.29582929621795273</v>
      </c>
      <c r="L269" s="40">
        <f>L268-K2*W268</f>
        <v>0.87929790837908828</v>
      </c>
      <c r="M269" s="40">
        <f>M268-K2*X268</f>
        <v>0.72331936169609967</v>
      </c>
      <c r="N269" s="35">
        <f t="shared" si="90"/>
        <v>-2.3412767195104349</v>
      </c>
      <c r="O269" s="35">
        <f t="shared" si="91"/>
        <v>8.7761647440980639E-2</v>
      </c>
      <c r="P269" s="36">
        <f t="shared" si="92"/>
        <v>0</v>
      </c>
      <c r="Q269" s="36">
        <f t="shared" si="93"/>
        <v>8.7761647440980639E-2</v>
      </c>
      <c r="R269" s="37">
        <f t="shared" si="94"/>
        <v>7.7021067615549834E-3</v>
      </c>
      <c r="T269" s="31">
        <f t="shared" si="95"/>
        <v>1.4052314366789206E-2</v>
      </c>
      <c r="U269" s="31">
        <f t="shared" si="96"/>
        <v>6.7451108960588188E-2</v>
      </c>
      <c r="V269" s="31">
        <f t="shared" si="97"/>
        <v>4.77778688470833E-2</v>
      </c>
      <c r="W269" s="31">
        <f t="shared" si="98"/>
        <v>2.6699397296899491E-2</v>
      </c>
      <c r="X269" s="31">
        <f t="shared" si="99"/>
        <v>2.8104628733578415E-3</v>
      </c>
    </row>
    <row r="270" spans="1:24" ht="14.25" customHeight="1" x14ac:dyDescent="0.3">
      <c r="A270" s="3"/>
      <c r="B270" s="38">
        <v>26</v>
      </c>
      <c r="C270" s="10">
        <v>5</v>
      </c>
      <c r="D270" s="11">
        <v>3</v>
      </c>
      <c r="E270" s="11">
        <v>1.6</v>
      </c>
      <c r="F270" s="11">
        <v>0.2</v>
      </c>
      <c r="G270" s="39">
        <v>0</v>
      </c>
      <c r="I270" s="38">
        <f>I269-K2*T269</f>
        <v>0.28234171472821312</v>
      </c>
      <c r="J270" s="40">
        <f>J269-K2*U269</f>
        <v>-0.72227301856142856</v>
      </c>
      <c r="K270" s="40">
        <f>K269-K2*V269</f>
        <v>-0.30060708310266104</v>
      </c>
      <c r="L270" s="40">
        <f>L269-K2*W269</f>
        <v>0.87662796864939829</v>
      </c>
      <c r="M270" s="40">
        <f>M269-K2*X269</f>
        <v>0.72303831540876384</v>
      </c>
      <c r="N270" s="35">
        <f t="shared" si="90"/>
        <v>-2.6836322144661224</v>
      </c>
      <c r="O270" s="35">
        <f t="shared" si="91"/>
        <v>6.3946118244596714E-2</v>
      </c>
      <c r="P270" s="36">
        <f t="shared" si="92"/>
        <v>0</v>
      </c>
      <c r="Q270" s="36">
        <f t="shared" si="93"/>
        <v>6.3946118244596714E-2</v>
      </c>
      <c r="R270" s="37">
        <f t="shared" si="94"/>
        <v>4.089106038551945E-3</v>
      </c>
      <c r="T270" s="31">
        <f t="shared" si="95"/>
        <v>7.655247160592015E-3</v>
      </c>
      <c r="U270" s="31">
        <f t="shared" si="96"/>
        <v>3.8276235802960072E-2</v>
      </c>
      <c r="V270" s="31">
        <f t="shared" si="97"/>
        <v>2.2965741481776044E-2</v>
      </c>
      <c r="W270" s="31">
        <f t="shared" si="98"/>
        <v>1.2248395456947225E-2</v>
      </c>
      <c r="X270" s="31">
        <f t="shared" si="99"/>
        <v>1.5310494321184032E-3</v>
      </c>
    </row>
    <row r="271" spans="1:24" ht="14.25" customHeight="1" x14ac:dyDescent="0.3">
      <c r="A271" s="3"/>
      <c r="B271" s="38">
        <v>27</v>
      </c>
      <c r="C271" s="10">
        <v>5</v>
      </c>
      <c r="D271" s="11">
        <v>3.4</v>
      </c>
      <c r="E271" s="11">
        <v>1.6</v>
      </c>
      <c r="F271" s="11">
        <v>0.4</v>
      </c>
      <c r="G271" s="39">
        <v>0</v>
      </c>
      <c r="I271" s="38">
        <f>I270-K2*T270</f>
        <v>0.28157619001215395</v>
      </c>
      <c r="J271" s="40">
        <f>J270-K2*U270</f>
        <v>-0.72610064214172454</v>
      </c>
      <c r="K271" s="40">
        <f>K270-K2*V270</f>
        <v>-0.30290365725083862</v>
      </c>
      <c r="L271" s="40">
        <f>L270-K2*W270</f>
        <v>0.87540312910370355</v>
      </c>
      <c r="M271" s="40">
        <f>M270-K2*X270</f>
        <v>0.72288521046555199</v>
      </c>
      <c r="N271" s="35">
        <f t="shared" si="90"/>
        <v>-2.6890003645971738</v>
      </c>
      <c r="O271" s="35">
        <f t="shared" si="91"/>
        <v>6.3625547978247668E-2</v>
      </c>
      <c r="P271" s="36">
        <f t="shared" si="92"/>
        <v>0</v>
      </c>
      <c r="Q271" s="36">
        <f t="shared" si="93"/>
        <v>6.3625547978247668E-2</v>
      </c>
      <c r="R271" s="37">
        <f t="shared" si="94"/>
        <v>4.0482103555322963E-3</v>
      </c>
      <c r="T271" s="31">
        <f t="shared" si="95"/>
        <v>7.5812815066606731E-3</v>
      </c>
      <c r="U271" s="31">
        <f t="shared" si="96"/>
        <v>3.7906407533303363E-2</v>
      </c>
      <c r="V271" s="31">
        <f t="shared" si="97"/>
        <v>2.5776357122646289E-2</v>
      </c>
      <c r="W271" s="31">
        <f t="shared" si="98"/>
        <v>1.2130050410657078E-2</v>
      </c>
      <c r="X271" s="31">
        <f t="shared" si="99"/>
        <v>3.0325126026642694E-3</v>
      </c>
    </row>
    <row r="272" spans="1:24" ht="14.25" customHeight="1" x14ac:dyDescent="0.3">
      <c r="A272" s="3"/>
      <c r="B272" s="38">
        <v>28</v>
      </c>
      <c r="C272" s="10">
        <v>5.2</v>
      </c>
      <c r="D272" s="11">
        <v>3.5</v>
      </c>
      <c r="E272" s="11">
        <v>1.5</v>
      </c>
      <c r="F272" s="11">
        <v>0.2</v>
      </c>
      <c r="G272" s="39">
        <v>0</v>
      </c>
      <c r="I272" s="38">
        <f>I271-K2*T271</f>
        <v>0.28081806186148789</v>
      </c>
      <c r="J272" s="40">
        <f>J271-K2*U271</f>
        <v>-0.72989128289505489</v>
      </c>
      <c r="K272" s="40">
        <f>K271-K2*V271</f>
        <v>-0.30548129296310322</v>
      </c>
      <c r="L272" s="40">
        <f>L271-K2*W271</f>
        <v>0.87419012406263785</v>
      </c>
      <c r="M272" s="40">
        <f>M271-K2*X271</f>
        <v>0.72258195920528556</v>
      </c>
      <c r="N272" s="35">
        <f t="shared" si="90"/>
        <v>-3.1279995566286449</v>
      </c>
      <c r="O272" s="35">
        <f t="shared" si="91"/>
        <v>4.1966962703157716E-2</v>
      </c>
      <c r="P272" s="36">
        <f t="shared" si="92"/>
        <v>0</v>
      </c>
      <c r="Q272" s="36">
        <f t="shared" si="93"/>
        <v>4.1966962703157716E-2</v>
      </c>
      <c r="R272" s="37">
        <f t="shared" si="94"/>
        <v>1.7612259585282307E-3</v>
      </c>
      <c r="T272" s="31">
        <f t="shared" si="95"/>
        <v>3.3746253088296871E-3</v>
      </c>
      <c r="U272" s="31">
        <f t="shared" si="96"/>
        <v>1.7548051605914373E-2</v>
      </c>
      <c r="V272" s="31">
        <f t="shared" si="97"/>
        <v>1.1811188580903905E-2</v>
      </c>
      <c r="W272" s="31">
        <f t="shared" si="98"/>
        <v>5.0619379632445309E-3</v>
      </c>
      <c r="X272" s="31">
        <f t="shared" si="99"/>
        <v>6.7492506176593746E-4</v>
      </c>
    </row>
    <row r="273" spans="1:24" ht="14.25" customHeight="1" x14ac:dyDescent="0.3">
      <c r="A273" s="3"/>
      <c r="B273" s="38">
        <v>29</v>
      </c>
      <c r="C273" s="10">
        <v>5.2</v>
      </c>
      <c r="D273" s="11">
        <v>3.4</v>
      </c>
      <c r="E273" s="11">
        <v>1.4</v>
      </c>
      <c r="F273" s="11">
        <v>0.2</v>
      </c>
      <c r="G273" s="39">
        <v>0</v>
      </c>
      <c r="I273" s="38">
        <f>I272-K2*T272</f>
        <v>0.28048059933060493</v>
      </c>
      <c r="J273" s="40">
        <f>J272-K2*U272</f>
        <v>-0.73164608805564635</v>
      </c>
      <c r="K273" s="40">
        <f>K272-K2*V272</f>
        <v>-0.30666241182119364</v>
      </c>
      <c r="L273" s="40">
        <f>L272-K2*W272</f>
        <v>0.87368393026631341</v>
      </c>
      <c r="M273" s="40">
        <f>M272-K2*X272</f>
        <v>0.72251446669910901</v>
      </c>
      <c r="N273" s="35">
        <f t="shared" si="90"/>
        <v>-3.1990708630381537</v>
      </c>
      <c r="O273" s="35">
        <f t="shared" si="91"/>
        <v>3.9200702839413508E-2</v>
      </c>
      <c r="P273" s="36">
        <f t="shared" si="92"/>
        <v>0</v>
      </c>
      <c r="Q273" s="36">
        <f t="shared" si="93"/>
        <v>3.9200702839413508E-2</v>
      </c>
      <c r="R273" s="37">
        <f t="shared" si="94"/>
        <v>1.5366951031040024E-3</v>
      </c>
      <c r="T273" s="31">
        <f t="shared" si="95"/>
        <v>2.9529111500248809E-3</v>
      </c>
      <c r="U273" s="31">
        <f t="shared" si="96"/>
        <v>1.5355137980129382E-2</v>
      </c>
      <c r="V273" s="31">
        <f t="shared" si="97"/>
        <v>1.0039897910084595E-2</v>
      </c>
      <c r="W273" s="31">
        <f t="shared" si="98"/>
        <v>4.1340756100348326E-3</v>
      </c>
      <c r="X273" s="31">
        <f t="shared" si="99"/>
        <v>5.905822300049762E-4</v>
      </c>
    </row>
    <row r="274" spans="1:24" ht="14.25" customHeight="1" x14ac:dyDescent="0.3">
      <c r="A274" s="3"/>
      <c r="B274" s="38">
        <v>30</v>
      </c>
      <c r="C274" s="10">
        <v>4.7</v>
      </c>
      <c r="D274" s="11">
        <v>3.2</v>
      </c>
      <c r="E274" s="11">
        <v>1.6</v>
      </c>
      <c r="F274" s="11">
        <v>0.2</v>
      </c>
      <c r="G274" s="39">
        <v>0</v>
      </c>
      <c r="I274" s="38">
        <f>I273-K2*T273</f>
        <v>0.28018530821560245</v>
      </c>
      <c r="J274" s="40">
        <f>J273-K2*U273</f>
        <v>-0.73318160185365933</v>
      </c>
      <c r="K274" s="40">
        <f>K273-K2*V273</f>
        <v>-0.3076664016122021</v>
      </c>
      <c r="L274" s="40">
        <f>L273-K2*W273</f>
        <v>0.87327052270530992</v>
      </c>
      <c r="M274" s="40">
        <f>M273-K2*X273</f>
        <v>0.72245540847610856</v>
      </c>
      <c r="N274" s="35">
        <f t="shared" si="90"/>
        <v>-2.6085767876319261</v>
      </c>
      <c r="O274" s="35">
        <f t="shared" si="91"/>
        <v>6.858846854663983E-2</v>
      </c>
      <c r="P274" s="36">
        <f t="shared" si="92"/>
        <v>0</v>
      </c>
      <c r="Q274" s="36">
        <f t="shared" si="93"/>
        <v>6.858846854663983E-2</v>
      </c>
      <c r="R274" s="37">
        <f t="shared" si="94"/>
        <v>4.7043780175734014E-3</v>
      </c>
      <c r="T274" s="31">
        <f t="shared" si="95"/>
        <v>8.7634238677671283E-3</v>
      </c>
      <c r="U274" s="31">
        <f t="shared" si="96"/>
        <v>4.1188092178505505E-2</v>
      </c>
      <c r="V274" s="31">
        <f t="shared" si="97"/>
        <v>2.8042956376854812E-2</v>
      </c>
      <c r="W274" s="31">
        <f t="shared" si="98"/>
        <v>1.4021478188427406E-2</v>
      </c>
      <c r="X274" s="31">
        <f t="shared" si="99"/>
        <v>1.7526847735534258E-3</v>
      </c>
    </row>
    <row r="275" spans="1:24" ht="14.25" customHeight="1" x14ac:dyDescent="0.3">
      <c r="A275" s="3"/>
      <c r="B275" s="38">
        <v>31</v>
      </c>
      <c r="C275" s="10">
        <v>4.8</v>
      </c>
      <c r="D275" s="11">
        <v>3.1</v>
      </c>
      <c r="E275" s="11">
        <v>1.6</v>
      </c>
      <c r="F275" s="11">
        <v>0.2</v>
      </c>
      <c r="G275" s="39">
        <v>0</v>
      </c>
      <c r="I275" s="38">
        <f>I274-K2*T274</f>
        <v>0.27930896582882575</v>
      </c>
      <c r="J275" s="40">
        <f>J274-K2*U274</f>
        <v>-0.7373004110715099</v>
      </c>
      <c r="K275" s="40">
        <f>K274-K2*V274</f>
        <v>-0.31047069724988757</v>
      </c>
      <c r="L275" s="40">
        <f>L274-K2*W274</f>
        <v>0.87186837488646718</v>
      </c>
      <c r="M275" s="40">
        <f>M274-K2*X274</f>
        <v>0.72228013999875318</v>
      </c>
      <c r="N275" s="35">
        <f t="shared" si="90"/>
        <v>-2.6827467409709751</v>
      </c>
      <c r="O275" s="35">
        <f t="shared" si="91"/>
        <v>6.3999140511587282E-2</v>
      </c>
      <c r="P275" s="36">
        <f t="shared" si="92"/>
        <v>0</v>
      </c>
      <c r="Q275" s="36">
        <f t="shared" si="93"/>
        <v>6.3999140511587282E-2</v>
      </c>
      <c r="R275" s="37">
        <f t="shared" si="94"/>
        <v>4.0958899862218925E-3</v>
      </c>
      <c r="T275" s="31">
        <f t="shared" si="95"/>
        <v>7.6675130949473485E-3</v>
      </c>
      <c r="U275" s="31">
        <f t="shared" si="96"/>
        <v>3.680406285574727E-2</v>
      </c>
      <c r="V275" s="31">
        <f t="shared" si="97"/>
        <v>2.376929059433678E-2</v>
      </c>
      <c r="W275" s="31">
        <f t="shared" si="98"/>
        <v>1.2268020951915759E-2</v>
      </c>
      <c r="X275" s="31">
        <f t="shared" si="99"/>
        <v>1.5335026189894699E-3</v>
      </c>
    </row>
    <row r="276" spans="1:24" ht="14.25" customHeight="1" x14ac:dyDescent="0.3">
      <c r="A276" s="3"/>
      <c r="B276" s="38">
        <v>32</v>
      </c>
      <c r="C276" s="10">
        <v>5.4</v>
      </c>
      <c r="D276" s="11">
        <v>3.4</v>
      </c>
      <c r="E276" s="11">
        <v>1.5</v>
      </c>
      <c r="F276" s="11">
        <v>0.4</v>
      </c>
      <c r="G276" s="39">
        <v>0</v>
      </c>
      <c r="I276" s="38">
        <f>I275-K2*T275</f>
        <v>0.27854221451933103</v>
      </c>
      <c r="J276" s="40">
        <f>J275-K2*U275</f>
        <v>-0.74098081735708465</v>
      </c>
      <c r="K276" s="40">
        <f>K275-K2*V275</f>
        <v>-0.31284762630932123</v>
      </c>
      <c r="L276" s="40">
        <f>L275-K2*W275</f>
        <v>0.87064157279127563</v>
      </c>
      <c r="M276" s="40">
        <f>M275-K2*X275</f>
        <v>0.72212678973685418</v>
      </c>
      <c r="N276" s="35">
        <f t="shared" si="90"/>
        <v>-3.1916230535789634</v>
      </c>
      <c r="O276" s="35">
        <f t="shared" si="91"/>
        <v>3.9482181912169206E-2</v>
      </c>
      <c r="P276" s="36">
        <f t="shared" si="92"/>
        <v>0</v>
      </c>
      <c r="Q276" s="36">
        <f t="shared" si="93"/>
        <v>3.9482181912169206E-2</v>
      </c>
      <c r="R276" s="37">
        <f t="shared" si="94"/>
        <v>1.5588426885456213E-3</v>
      </c>
      <c r="T276" s="31">
        <f t="shared" si="95"/>
        <v>2.994592355888016E-3</v>
      </c>
      <c r="U276" s="31">
        <f t="shared" si="96"/>
        <v>1.6170798721795287E-2</v>
      </c>
      <c r="V276" s="31">
        <f t="shared" si="97"/>
        <v>1.0181614010019255E-2</v>
      </c>
      <c r="W276" s="31">
        <f t="shared" si="98"/>
        <v>4.491888533832024E-3</v>
      </c>
      <c r="X276" s="31">
        <f t="shared" si="99"/>
        <v>1.1978369423552065E-3</v>
      </c>
    </row>
    <row r="277" spans="1:24" ht="14.25" customHeight="1" x14ac:dyDescent="0.3">
      <c r="A277" s="3"/>
      <c r="B277" s="38">
        <v>33</v>
      </c>
      <c r="C277" s="10">
        <v>5.2</v>
      </c>
      <c r="D277" s="11">
        <v>4.0999999999999996</v>
      </c>
      <c r="E277" s="11">
        <v>1.5</v>
      </c>
      <c r="F277" s="11">
        <v>0.1</v>
      </c>
      <c r="G277" s="39">
        <v>0</v>
      </c>
      <c r="I277" s="38">
        <f>I276-K2*T276</f>
        <v>0.2782427552837422</v>
      </c>
      <c r="J277" s="40">
        <f>J276-K2*U276</f>
        <v>-0.74259789722926417</v>
      </c>
      <c r="K277" s="40">
        <f>K276-K2*V276</f>
        <v>-0.31386578771032314</v>
      </c>
      <c r="L277" s="40">
        <f>L276-K2*W276</f>
        <v>0.87019238393789244</v>
      </c>
      <c r="M277" s="40">
        <f>M276-K2*X276</f>
        <v>0.72200700604261869</v>
      </c>
      <c r="N277" s="35">
        <f t="shared" ref="N277:N308" si="100">I277+J277*C277+K277*D277+L277*E277+F277*M277</f>
        <v>-3.4926267634096555</v>
      </c>
      <c r="O277" s="35">
        <f t="shared" ref="O277:O308" si="101">1/(1+EXP(-N277))</f>
        <v>2.9522751284279055E-2</v>
      </c>
      <c r="P277" s="36">
        <f t="shared" ref="P277:P308" si="102">IF(O277&gt;0.5,1,0)</f>
        <v>0</v>
      </c>
      <c r="Q277" s="36">
        <f t="shared" ref="Q277:Q308" si="103">O277-G277</f>
        <v>2.9522751284279055E-2</v>
      </c>
      <c r="R277" s="37">
        <f t="shared" ref="R277:R308" si="104">Q277^2</f>
        <v>8.7159284339340061E-4</v>
      </c>
      <c r="T277" s="31">
        <f t="shared" ref="T277:T308" si="105">2*(O277-G277)*(1-O277)*O277</f>
        <v>1.6917220493134792E-3</v>
      </c>
      <c r="U277" s="31">
        <f t="shared" ref="U277:U308" si="106">2*(O277-G277)*(1-O277)*O277*C277</f>
        <v>8.7969546564300918E-3</v>
      </c>
      <c r="V277" s="31">
        <f t="shared" ref="V277:V308" si="107">2*(O277-G277)*(1-O277)*O277*D277</f>
        <v>6.9360604021852642E-3</v>
      </c>
      <c r="W277" s="31">
        <f t="shared" ref="W277:W308" si="108">2*(O277-G277)*(1-O277)*O277*E277</f>
        <v>2.5375830739702188E-3</v>
      </c>
      <c r="X277" s="31">
        <f t="shared" ref="X277:X308" si="109">2*(O277-G277)*(1-O277)*O277*F277</f>
        <v>1.6917220493134792E-4</v>
      </c>
    </row>
    <row r="278" spans="1:24" ht="14.25" customHeight="1" x14ac:dyDescent="0.3">
      <c r="A278" s="3"/>
      <c r="B278" s="38">
        <v>34</v>
      </c>
      <c r="C278" s="10">
        <v>5.5</v>
      </c>
      <c r="D278" s="11">
        <v>4.2</v>
      </c>
      <c r="E278" s="11">
        <v>1.4</v>
      </c>
      <c r="F278" s="11">
        <v>0.2</v>
      </c>
      <c r="G278" s="39">
        <v>0</v>
      </c>
      <c r="I278" s="38">
        <f>I277-K2*T277</f>
        <v>0.27807358307881086</v>
      </c>
      <c r="J278" s="40">
        <f>J277-K2*U277</f>
        <v>-0.74347759269490721</v>
      </c>
      <c r="K278" s="40">
        <f>K277-K2*V277</f>
        <v>-0.31455939375054165</v>
      </c>
      <c r="L278" s="40">
        <f>L277-K2*W277</f>
        <v>0.8699386256304954</v>
      </c>
      <c r="M278" s="40">
        <f>M277-K2*X277</f>
        <v>0.72199008882212556</v>
      </c>
      <c r="N278" s="35">
        <f t="shared" si="100"/>
        <v>-3.7698905368483349</v>
      </c>
      <c r="O278" s="35">
        <f t="shared" si="101"/>
        <v>2.2535050499574563E-2</v>
      </c>
      <c r="P278" s="36">
        <f t="shared" si="102"/>
        <v>0</v>
      </c>
      <c r="Q278" s="36">
        <f t="shared" si="103"/>
        <v>2.2535050499574563E-2</v>
      </c>
      <c r="R278" s="37">
        <f t="shared" si="104"/>
        <v>5.0782850101837576E-4</v>
      </c>
      <c r="T278" s="31">
        <f t="shared" si="105"/>
        <v>9.9276912020560665E-4</v>
      </c>
      <c r="U278" s="31">
        <f t="shared" si="106"/>
        <v>5.4602301611308369E-3</v>
      </c>
      <c r="V278" s="31">
        <f t="shared" si="107"/>
        <v>4.1696303048635482E-3</v>
      </c>
      <c r="W278" s="31">
        <f t="shared" si="108"/>
        <v>1.3898767682878493E-3</v>
      </c>
      <c r="X278" s="31">
        <f t="shared" si="109"/>
        <v>1.9855382404112133E-4</v>
      </c>
    </row>
    <row r="279" spans="1:24" ht="14.25" customHeight="1" x14ac:dyDescent="0.3">
      <c r="A279" s="3"/>
      <c r="B279" s="38">
        <v>35</v>
      </c>
      <c r="C279" s="10">
        <v>4.9000000000000004</v>
      </c>
      <c r="D279" s="11">
        <v>3.1</v>
      </c>
      <c r="E279" s="11">
        <v>1.5</v>
      </c>
      <c r="F279" s="11">
        <v>0.1</v>
      </c>
      <c r="G279" s="39">
        <v>0</v>
      </c>
      <c r="I279" s="38">
        <f>I278-K2*T278</f>
        <v>0.27797430616679031</v>
      </c>
      <c r="J279" s="40">
        <f>J278-K2*U278</f>
        <v>-0.74402361571102027</v>
      </c>
      <c r="K279" s="40">
        <f>K278-K2*V278</f>
        <v>-0.31497635678102798</v>
      </c>
      <c r="L279" s="40">
        <f>L278-K2*W278</f>
        <v>0.86979963795366666</v>
      </c>
      <c r="M279" s="40">
        <f>M278-K2*X278</f>
        <v>0.72197023343972144</v>
      </c>
      <c r="N279" s="35">
        <f t="shared" si="100"/>
        <v>-2.9672716365639236</v>
      </c>
      <c r="O279" s="35">
        <f t="shared" si="101"/>
        <v>4.8926525038173976E-2</v>
      </c>
      <c r="P279" s="36">
        <f t="shared" si="102"/>
        <v>0</v>
      </c>
      <c r="Q279" s="36">
        <f t="shared" si="103"/>
        <v>4.8926525038173976E-2</v>
      </c>
      <c r="R279" s="37">
        <f t="shared" si="104"/>
        <v>2.3938048523110649E-3</v>
      </c>
      <c r="T279" s="31">
        <f t="shared" si="105"/>
        <v>4.5533685985359312E-3</v>
      </c>
      <c r="U279" s="31">
        <f t="shared" si="106"/>
        <v>2.2311506132826064E-2</v>
      </c>
      <c r="V279" s="31">
        <f t="shared" si="107"/>
        <v>1.4115442655461387E-2</v>
      </c>
      <c r="W279" s="31">
        <f t="shared" si="108"/>
        <v>6.8300528978038968E-3</v>
      </c>
      <c r="X279" s="31">
        <f t="shared" si="109"/>
        <v>4.5533685985359314E-4</v>
      </c>
    </row>
    <row r="280" spans="1:24" ht="14.25" customHeight="1" x14ac:dyDescent="0.3">
      <c r="A280" s="3"/>
      <c r="B280" s="38">
        <v>36</v>
      </c>
      <c r="C280" s="10">
        <v>5</v>
      </c>
      <c r="D280" s="11">
        <v>3.2</v>
      </c>
      <c r="E280" s="11">
        <v>1.2</v>
      </c>
      <c r="F280" s="11">
        <v>0.2</v>
      </c>
      <c r="G280" s="39">
        <v>0</v>
      </c>
      <c r="I280" s="38">
        <f>I279-K2*T279</f>
        <v>0.2775189693069367</v>
      </c>
      <c r="J280" s="40">
        <f>J279-K2*U279</f>
        <v>-0.74625476632430288</v>
      </c>
      <c r="K280" s="40">
        <f>K279-K2*V279</f>
        <v>-0.3163879010465741</v>
      </c>
      <c r="L280" s="40">
        <f>L279-K2*W279</f>
        <v>0.86911663266388628</v>
      </c>
      <c r="M280" s="40">
        <f>M279-K2*X279</f>
        <v>0.72192469975373608</v>
      </c>
      <c r="N280" s="35">
        <f t="shared" si="100"/>
        <v>-3.2788712465162049</v>
      </c>
      <c r="O280" s="35">
        <f t="shared" si="101"/>
        <v>3.6303185451188595E-2</v>
      </c>
      <c r="P280" s="36">
        <f t="shared" si="102"/>
        <v>0</v>
      </c>
      <c r="Q280" s="36">
        <f t="shared" si="103"/>
        <v>3.6303185451188595E-2</v>
      </c>
      <c r="R280" s="37">
        <f t="shared" si="104"/>
        <v>1.3179212739033912E-3</v>
      </c>
      <c r="T280" s="31">
        <f t="shared" si="105"/>
        <v>2.5401530669736192E-3</v>
      </c>
      <c r="U280" s="31">
        <f t="shared" si="106"/>
        <v>1.2700765334868096E-2</v>
      </c>
      <c r="V280" s="31">
        <f t="shared" si="107"/>
        <v>8.1284898143155811E-3</v>
      </c>
      <c r="W280" s="31">
        <f t="shared" si="108"/>
        <v>3.0481836803683431E-3</v>
      </c>
      <c r="X280" s="31">
        <f t="shared" si="109"/>
        <v>5.0803061339472382E-4</v>
      </c>
    </row>
    <row r="281" spans="1:24" ht="14.25" customHeight="1" x14ac:dyDescent="0.3">
      <c r="A281" s="3"/>
      <c r="B281" s="38">
        <v>37</v>
      </c>
      <c r="C281" s="10">
        <v>5.5</v>
      </c>
      <c r="D281" s="11">
        <v>3.5</v>
      </c>
      <c r="E281" s="11">
        <v>1.3</v>
      </c>
      <c r="F281" s="11">
        <v>0.2</v>
      </c>
      <c r="G281" s="39">
        <v>0</v>
      </c>
      <c r="I281" s="38">
        <f>I280-K2*T280</f>
        <v>0.27726495400023932</v>
      </c>
      <c r="J281" s="40">
        <f>J280-K2*U280</f>
        <v>-0.74752484285778964</v>
      </c>
      <c r="K281" s="40">
        <f>K280-K2*V280</f>
        <v>-0.31720075002800568</v>
      </c>
      <c r="L281" s="40">
        <f>L280-K2*W280</f>
        <v>0.86881181429584942</v>
      </c>
      <c r="M281" s="40">
        <f>M280-K2*X280</f>
        <v>0.72187389669239665</v>
      </c>
      <c r="N281" s="35">
        <f t="shared" si="100"/>
        <v>-3.6704941688925397</v>
      </c>
      <c r="O281" s="35">
        <f t="shared" si="101"/>
        <v>2.4831575046859285E-2</v>
      </c>
      <c r="P281" s="36">
        <f t="shared" si="102"/>
        <v>0</v>
      </c>
      <c r="Q281" s="36">
        <f t="shared" si="103"/>
        <v>2.4831575046859285E-2</v>
      </c>
      <c r="R281" s="37">
        <f t="shared" si="104"/>
        <v>6.1660711930780477E-4</v>
      </c>
      <c r="T281" s="31">
        <f t="shared" si="105"/>
        <v>1.2025915867005705E-3</v>
      </c>
      <c r="U281" s="31">
        <f t="shared" si="106"/>
        <v>6.6142537268531381E-3</v>
      </c>
      <c r="V281" s="31">
        <f t="shared" si="107"/>
        <v>4.2090705534519966E-3</v>
      </c>
      <c r="W281" s="31">
        <f t="shared" si="108"/>
        <v>1.5633690627107418E-3</v>
      </c>
      <c r="X281" s="31">
        <f t="shared" si="109"/>
        <v>2.4051831734011412E-4</v>
      </c>
    </row>
    <row r="282" spans="1:24" ht="14.25" customHeight="1" x14ac:dyDescent="0.3">
      <c r="A282" s="3"/>
      <c r="B282" s="38">
        <v>38</v>
      </c>
      <c r="C282" s="10">
        <v>4.9000000000000004</v>
      </c>
      <c r="D282" s="11">
        <v>3.1</v>
      </c>
      <c r="E282" s="11">
        <v>1.5</v>
      </c>
      <c r="F282" s="11">
        <v>0.1</v>
      </c>
      <c r="G282" s="39">
        <v>0</v>
      </c>
      <c r="I282" s="38">
        <f>I281-K2*T281</f>
        <v>0.27714469484156928</v>
      </c>
      <c r="J282" s="40">
        <f>J281-K2*U281</f>
        <v>-0.74818626823047496</v>
      </c>
      <c r="K282" s="40">
        <f>K281-K2*V281</f>
        <v>-0.31762165708335088</v>
      </c>
      <c r="L282" s="40">
        <f>L281-K2*W281</f>
        <v>0.86865547738957838</v>
      </c>
      <c r="M282" s="40">
        <f>M281-K2*X281</f>
        <v>0.72184984486066261</v>
      </c>
      <c r="N282" s="35">
        <f t="shared" si="100"/>
        <v>-2.9984269558757117</v>
      </c>
      <c r="O282" s="35">
        <f t="shared" si="101"/>
        <v>4.7496988670522725E-2</v>
      </c>
      <c r="P282" s="36">
        <f t="shared" si="102"/>
        <v>0</v>
      </c>
      <c r="Q282" s="36">
        <f t="shared" si="103"/>
        <v>4.7496988670522725E-2</v>
      </c>
      <c r="R282" s="37">
        <f t="shared" si="104"/>
        <v>2.2559639327677642E-3</v>
      </c>
      <c r="T282" s="31">
        <f t="shared" si="105"/>
        <v>4.2976248788239709E-3</v>
      </c>
      <c r="U282" s="31">
        <f t="shared" si="106"/>
        <v>2.1058361906237458E-2</v>
      </c>
      <c r="V282" s="31">
        <f t="shared" si="107"/>
        <v>1.332263712435431E-2</v>
      </c>
      <c r="W282" s="31">
        <f t="shared" si="108"/>
        <v>6.446437318235956E-3</v>
      </c>
      <c r="X282" s="31">
        <f t="shared" si="109"/>
        <v>4.2976248788239712E-4</v>
      </c>
    </row>
    <row r="283" spans="1:24" ht="14.25" customHeight="1" x14ac:dyDescent="0.3">
      <c r="A283" s="3"/>
      <c r="B283" s="38">
        <v>39</v>
      </c>
      <c r="C283" s="10">
        <v>4.4000000000000004</v>
      </c>
      <c r="D283" s="11">
        <v>3</v>
      </c>
      <c r="E283" s="11">
        <v>1.3</v>
      </c>
      <c r="F283" s="11">
        <v>0.2</v>
      </c>
      <c r="G283" s="39">
        <v>0</v>
      </c>
      <c r="I283" s="38">
        <f>I282-K2*T282</f>
        <v>0.27671493235368688</v>
      </c>
      <c r="J283" s="40">
        <f>J282-K2*U282</f>
        <v>-0.75029210442109873</v>
      </c>
      <c r="K283" s="40">
        <f>K282-K2*V282</f>
        <v>-0.31895392079578633</v>
      </c>
      <c r="L283" s="40">
        <f>L282-K2*W282</f>
        <v>0.86801083365775478</v>
      </c>
      <c r="M283" s="40">
        <f>M282-K2*X282</f>
        <v>0.72180686861187437</v>
      </c>
      <c r="N283" s="35">
        <f t="shared" si="100"/>
        <v>-2.7086566320090508</v>
      </c>
      <c r="O283" s="35">
        <f t="shared" si="101"/>
        <v>6.2464476365041675E-2</v>
      </c>
      <c r="P283" s="36">
        <f t="shared" si="102"/>
        <v>0</v>
      </c>
      <c r="Q283" s="36">
        <f t="shared" si="103"/>
        <v>6.2464476365041675E-2</v>
      </c>
      <c r="R283" s="37">
        <f t="shared" si="104"/>
        <v>3.90181080755885E-3</v>
      </c>
      <c r="T283" s="31">
        <f t="shared" si="105"/>
        <v>7.3161724771784523E-3</v>
      </c>
      <c r="U283" s="31">
        <f t="shared" si="106"/>
        <v>3.2191158899585195E-2</v>
      </c>
      <c r="V283" s="31">
        <f t="shared" si="107"/>
        <v>2.1948517431535357E-2</v>
      </c>
      <c r="W283" s="31">
        <f t="shared" si="108"/>
        <v>9.5110242203319886E-3</v>
      </c>
      <c r="X283" s="31">
        <f t="shared" si="109"/>
        <v>1.4632344954356906E-3</v>
      </c>
    </row>
    <row r="284" spans="1:24" ht="14.25" customHeight="1" x14ac:dyDescent="0.3">
      <c r="A284" s="3"/>
      <c r="B284" s="38">
        <v>40</v>
      </c>
      <c r="C284" s="10">
        <v>5.0999999999999996</v>
      </c>
      <c r="D284" s="11">
        <v>3.4</v>
      </c>
      <c r="E284" s="11">
        <v>1.5</v>
      </c>
      <c r="F284" s="11">
        <v>0.2</v>
      </c>
      <c r="G284" s="39">
        <v>0</v>
      </c>
      <c r="I284" s="38">
        <f>I283-K2*T283</f>
        <v>0.27598331510596902</v>
      </c>
      <c r="J284" s="40">
        <f>J283-K2*U283</f>
        <v>-0.75351122031105722</v>
      </c>
      <c r="K284" s="40">
        <f>K283-K2*V283</f>
        <v>-0.32114877253893986</v>
      </c>
      <c r="L284" s="40">
        <f>L283-K2*W283</f>
        <v>0.86705973123572155</v>
      </c>
      <c r="M284" s="40">
        <f>M283-K2*X283</f>
        <v>0.7216605451623308</v>
      </c>
      <c r="N284" s="35">
        <f t="shared" si="100"/>
        <v>-3.2139080292267694</v>
      </c>
      <c r="O284" s="35">
        <f t="shared" si="101"/>
        <v>3.8645680542104495E-2</v>
      </c>
      <c r="P284" s="36">
        <f t="shared" si="102"/>
        <v>0</v>
      </c>
      <c r="Q284" s="36">
        <f t="shared" si="103"/>
        <v>3.8645680542104495E-2</v>
      </c>
      <c r="R284" s="37">
        <f t="shared" si="104"/>
        <v>1.4934886245623941E-3</v>
      </c>
      <c r="T284" s="31">
        <f t="shared" si="105"/>
        <v>2.871543480568577E-3</v>
      </c>
      <c r="U284" s="31">
        <f t="shared" si="106"/>
        <v>1.4644871750899742E-2</v>
      </c>
      <c r="V284" s="31">
        <f t="shared" si="107"/>
        <v>9.7632478339331613E-3</v>
      </c>
      <c r="W284" s="31">
        <f t="shared" si="108"/>
        <v>4.3073152208528654E-3</v>
      </c>
      <c r="X284" s="31">
        <f t="shared" si="109"/>
        <v>5.7430869611371544E-4</v>
      </c>
    </row>
    <row r="285" spans="1:24" ht="14.25" customHeight="1" x14ac:dyDescent="0.3">
      <c r="A285" s="3"/>
      <c r="B285" s="38">
        <v>41</v>
      </c>
      <c r="C285" s="10">
        <v>7</v>
      </c>
      <c r="D285" s="11">
        <v>3.2</v>
      </c>
      <c r="E285" s="11">
        <v>4.7</v>
      </c>
      <c r="F285" s="11">
        <v>1.4</v>
      </c>
      <c r="G285" s="39">
        <v>1</v>
      </c>
      <c r="I285" s="38">
        <f>I284-K2*T284</f>
        <v>0.27569616075791215</v>
      </c>
      <c r="J285" s="40">
        <f>J284-K2*U284</f>
        <v>-0.75497570748614717</v>
      </c>
      <c r="K285" s="40">
        <f>K284-K2*V284</f>
        <v>-0.32212509732233319</v>
      </c>
      <c r="L285" s="40">
        <f>L284-K2*W284</f>
        <v>0.86662899971363627</v>
      </c>
      <c r="M285" s="40">
        <f>M284-K2*X284</f>
        <v>0.72160311429271939</v>
      </c>
      <c r="N285" s="35">
        <f t="shared" si="100"/>
        <v>-0.95653344441268739</v>
      </c>
      <c r="O285" s="35">
        <f t="shared" si="101"/>
        <v>0.27757279360890574</v>
      </c>
      <c r="P285" s="36">
        <f t="shared" si="102"/>
        <v>0</v>
      </c>
      <c r="Q285" s="36">
        <f t="shared" si="103"/>
        <v>-0.72242720639109426</v>
      </c>
      <c r="R285" s="37">
        <f t="shared" si="104"/>
        <v>0.52190106853404072</v>
      </c>
      <c r="T285" s="31">
        <f t="shared" si="105"/>
        <v>-0.28973107516093333</v>
      </c>
      <c r="U285" s="31">
        <f t="shared" si="106"/>
        <v>-2.0281175261265334</v>
      </c>
      <c r="V285" s="31">
        <f t="shared" si="107"/>
        <v>-0.92713944051498665</v>
      </c>
      <c r="W285" s="31">
        <f t="shared" si="108"/>
        <v>-1.3617360532563867</v>
      </c>
      <c r="X285" s="31">
        <f t="shared" si="109"/>
        <v>-0.40562350522530666</v>
      </c>
    </row>
    <row r="286" spans="1:24" ht="14.25" customHeight="1" x14ac:dyDescent="0.3">
      <c r="A286" s="3"/>
      <c r="B286" s="38">
        <v>42</v>
      </c>
      <c r="C286" s="10">
        <v>6.4</v>
      </c>
      <c r="D286" s="11">
        <v>3.2</v>
      </c>
      <c r="E286" s="11">
        <v>4.5</v>
      </c>
      <c r="F286" s="11">
        <v>1.5</v>
      </c>
      <c r="G286" s="39">
        <v>1</v>
      </c>
      <c r="I286" s="38">
        <f>I285-K2*T285</f>
        <v>0.30466926827400548</v>
      </c>
      <c r="J286" s="40">
        <f>J285-K2*U285</f>
        <v>-0.55216395487349379</v>
      </c>
      <c r="K286" s="40">
        <f>K285-K2*V285</f>
        <v>-0.2294111532708345</v>
      </c>
      <c r="L286" s="40">
        <f>L285-K2*W285</f>
        <v>1.0028026050392749</v>
      </c>
      <c r="M286" s="40">
        <f>M285-K2*X285</f>
        <v>0.76216546481525005</v>
      </c>
      <c r="N286" s="35">
        <f t="shared" si="100"/>
        <v>1.6925641865165861</v>
      </c>
      <c r="O286" s="35">
        <f t="shared" si="101"/>
        <v>0.84456107778010836</v>
      </c>
      <c r="P286" s="36">
        <f t="shared" si="102"/>
        <v>1</v>
      </c>
      <c r="Q286" s="36">
        <f t="shared" si="103"/>
        <v>-0.15543892221989164</v>
      </c>
      <c r="R286" s="37">
        <f t="shared" si="104"/>
        <v>2.4161258540881522E-2</v>
      </c>
      <c r="T286" s="31">
        <f t="shared" si="105"/>
        <v>-4.0811317107621495E-2</v>
      </c>
      <c r="U286" s="31">
        <f t="shared" si="106"/>
        <v>-0.26119242948877758</v>
      </c>
      <c r="V286" s="31">
        <f t="shared" si="107"/>
        <v>-0.13059621474438879</v>
      </c>
      <c r="W286" s="31">
        <f t="shared" si="108"/>
        <v>-0.18365092698429672</v>
      </c>
      <c r="X286" s="31">
        <f t="shared" si="109"/>
        <v>-6.1216975661432242E-2</v>
      </c>
    </row>
    <row r="287" spans="1:24" ht="14.25" customHeight="1" x14ac:dyDescent="0.3">
      <c r="A287" s="3"/>
      <c r="B287" s="38">
        <v>43</v>
      </c>
      <c r="C287" s="10">
        <v>6.9</v>
      </c>
      <c r="D287" s="11">
        <v>3.1</v>
      </c>
      <c r="E287" s="11">
        <v>4.9000000000000004</v>
      </c>
      <c r="F287" s="11">
        <v>1.5</v>
      </c>
      <c r="G287" s="39">
        <v>1</v>
      </c>
      <c r="I287" s="38">
        <f>I286-K2*T286</f>
        <v>0.30875039998476761</v>
      </c>
      <c r="J287" s="40">
        <f>J286-K2*U286</f>
        <v>-0.52604471192461599</v>
      </c>
      <c r="K287" s="40">
        <f>K286-K2*V286</f>
        <v>-0.21635153179639563</v>
      </c>
      <c r="L287" s="40">
        <f>L286-K2*W286</f>
        <v>1.0211676977377044</v>
      </c>
      <c r="M287" s="40">
        <f>M286-K2*X286</f>
        <v>0.76828716238139327</v>
      </c>
      <c r="N287" s="35">
        <f t="shared" si="100"/>
        <v>2.1645046016229332</v>
      </c>
      <c r="O287" s="35">
        <f t="shared" si="101"/>
        <v>0.89701641929004017</v>
      </c>
      <c r="P287" s="36">
        <f t="shared" si="102"/>
        <v>1</v>
      </c>
      <c r="Q287" s="36">
        <f t="shared" si="103"/>
        <v>-0.10298358070995983</v>
      </c>
      <c r="R287" s="37">
        <f t="shared" si="104"/>
        <v>1.0605617895844811E-2</v>
      </c>
      <c r="T287" s="31">
        <f t="shared" si="105"/>
        <v>-1.9026826778578164E-2</v>
      </c>
      <c r="U287" s="31">
        <f t="shared" si="106"/>
        <v>-0.13128510477218933</v>
      </c>
      <c r="V287" s="31">
        <f t="shared" si="107"/>
        <v>-5.8983163013592313E-2</v>
      </c>
      <c r="W287" s="31">
        <f t="shared" si="108"/>
        <v>-9.3231451215033012E-2</v>
      </c>
      <c r="X287" s="31">
        <f t="shared" si="109"/>
        <v>-2.8540240167867246E-2</v>
      </c>
    </row>
    <row r="288" spans="1:24" ht="14.25" customHeight="1" x14ac:dyDescent="0.3">
      <c r="A288" s="3"/>
      <c r="B288" s="38">
        <v>44</v>
      </c>
      <c r="C288" s="10">
        <v>5.5</v>
      </c>
      <c r="D288" s="11">
        <v>2.2999999999999998</v>
      </c>
      <c r="E288" s="11">
        <v>4</v>
      </c>
      <c r="F288" s="11">
        <v>1.3</v>
      </c>
      <c r="G288" s="39">
        <v>1</v>
      </c>
      <c r="I288" s="38">
        <f>I287-K2*T287</f>
        <v>0.31065308266262542</v>
      </c>
      <c r="J288" s="40">
        <f>J287-K2*U287</f>
        <v>-0.51291620144739702</v>
      </c>
      <c r="K288" s="40">
        <f>K287-K2*V287</f>
        <v>-0.2104532154950364</v>
      </c>
      <c r="L288" s="40">
        <f>L287-K2*W287</f>
        <v>1.0304908428592077</v>
      </c>
      <c r="M288" s="40">
        <f>M287-K2*X287</f>
        <v>0.77114118639817997</v>
      </c>
      <c r="N288" s="35">
        <f t="shared" si="100"/>
        <v>2.1300184928178227</v>
      </c>
      <c r="O288" s="35">
        <f t="shared" si="101"/>
        <v>0.89378676389750522</v>
      </c>
      <c r="P288" s="36">
        <f t="shared" si="102"/>
        <v>1</v>
      </c>
      <c r="Q288" s="36">
        <f t="shared" si="103"/>
        <v>-0.10621323610249478</v>
      </c>
      <c r="R288" s="37">
        <f t="shared" si="104"/>
        <v>1.1281251523364301E-2</v>
      </c>
      <c r="T288" s="31">
        <f t="shared" si="105"/>
        <v>-2.0166066583563159E-2</v>
      </c>
      <c r="U288" s="31">
        <f t="shared" si="106"/>
        <v>-0.11091336620959738</v>
      </c>
      <c r="V288" s="31">
        <f t="shared" si="107"/>
        <v>-4.6381953142195266E-2</v>
      </c>
      <c r="W288" s="31">
        <f t="shared" si="108"/>
        <v>-8.0664266334252638E-2</v>
      </c>
      <c r="X288" s="31">
        <f t="shared" si="109"/>
        <v>-2.6215886558632107E-2</v>
      </c>
    </row>
    <row r="289" spans="1:24" ht="14.25" customHeight="1" x14ac:dyDescent="0.3">
      <c r="A289" s="3"/>
      <c r="B289" s="38">
        <v>45</v>
      </c>
      <c r="C289" s="10">
        <v>6.5</v>
      </c>
      <c r="D289" s="11">
        <v>2.8</v>
      </c>
      <c r="E289" s="11">
        <v>4.5999999999999996</v>
      </c>
      <c r="F289" s="11">
        <v>1.5</v>
      </c>
      <c r="G289" s="39">
        <v>1</v>
      </c>
      <c r="I289" s="38">
        <f>I288-K2*T288</f>
        <v>0.31266968932098171</v>
      </c>
      <c r="J289" s="40">
        <f>J288-K2*U288</f>
        <v>-0.50182486482643729</v>
      </c>
      <c r="K289" s="40">
        <f>K288-K2*V288</f>
        <v>-0.20581502018081688</v>
      </c>
      <c r="L289" s="40">
        <f>L288-K2*W288</f>
        <v>1.0385572694926328</v>
      </c>
      <c r="M289" s="40">
        <f>M288-K2*X288</f>
        <v>0.77376277505404323</v>
      </c>
      <c r="N289" s="35">
        <f t="shared" si="100"/>
        <v>2.4125336136900275</v>
      </c>
      <c r="O289" s="35">
        <f t="shared" si="101"/>
        <v>0.91777807459643168</v>
      </c>
      <c r="P289" s="36">
        <f t="shared" si="102"/>
        <v>1</v>
      </c>
      <c r="Q289" s="36">
        <f t="shared" si="103"/>
        <v>-8.2221925403568319E-2</v>
      </c>
      <c r="R289" s="37">
        <f t="shared" si="104"/>
        <v>6.7604450170699534E-3</v>
      </c>
      <c r="T289" s="31">
        <f t="shared" si="105"/>
        <v>-1.2409176422363005E-2</v>
      </c>
      <c r="U289" s="31">
        <f t="shared" si="106"/>
        <v>-8.0659646745359526E-2</v>
      </c>
      <c r="V289" s="31">
        <f t="shared" si="107"/>
        <v>-3.4745693982616413E-2</v>
      </c>
      <c r="W289" s="31">
        <f t="shared" si="108"/>
        <v>-5.7082211542869819E-2</v>
      </c>
      <c r="X289" s="31">
        <f t="shared" si="109"/>
        <v>-1.8613764633544506E-2</v>
      </c>
    </row>
    <row r="290" spans="1:24" ht="14.25" customHeight="1" x14ac:dyDescent="0.3">
      <c r="A290" s="3"/>
      <c r="B290" s="38">
        <v>46</v>
      </c>
      <c r="C290" s="10">
        <v>5.7</v>
      </c>
      <c r="D290" s="11">
        <v>2.8</v>
      </c>
      <c r="E290" s="11">
        <v>4.5</v>
      </c>
      <c r="F290" s="11">
        <v>1.3</v>
      </c>
      <c r="G290" s="39">
        <v>1</v>
      </c>
      <c r="I290" s="38">
        <f>I289-K2*T289</f>
        <v>0.31391060696321804</v>
      </c>
      <c r="J290" s="40">
        <f>J289-K2*U289</f>
        <v>-0.49375890015190133</v>
      </c>
      <c r="K290" s="40">
        <f>K289-K2*V289</f>
        <v>-0.20234045078255525</v>
      </c>
      <c r="L290" s="40">
        <f>L289-K2*W289</f>
        <v>1.0442654906469198</v>
      </c>
      <c r="M290" s="40">
        <f>M289-K2*X289</f>
        <v>0.77562415151739772</v>
      </c>
      <c r="N290" s="35">
        <f t="shared" si="100"/>
        <v>2.6404377187899817</v>
      </c>
      <c r="O290" s="35">
        <f t="shared" si="101"/>
        <v>0.93341917285517551</v>
      </c>
      <c r="P290" s="36">
        <f t="shared" si="102"/>
        <v>1</v>
      </c>
      <c r="Q290" s="36">
        <f t="shared" si="103"/>
        <v>-6.6580827144824495E-2</v>
      </c>
      <c r="R290" s="37">
        <f t="shared" si="104"/>
        <v>4.4330065432889986E-3</v>
      </c>
      <c r="T290" s="31">
        <f t="shared" si="105"/>
        <v>-8.2757066017967954E-3</v>
      </c>
      <c r="U290" s="31">
        <f t="shared" si="106"/>
        <v>-4.7171527630241739E-2</v>
      </c>
      <c r="V290" s="31">
        <f t="shared" si="107"/>
        <v>-2.3171978485031025E-2</v>
      </c>
      <c r="W290" s="31">
        <f t="shared" si="108"/>
        <v>-3.7240679708085582E-2</v>
      </c>
      <c r="X290" s="31">
        <f t="shared" si="109"/>
        <v>-1.0758418582335835E-2</v>
      </c>
    </row>
    <row r="291" spans="1:24" ht="14.25" customHeight="1" x14ac:dyDescent="0.3">
      <c r="A291" s="3"/>
      <c r="B291" s="38">
        <v>47</v>
      </c>
      <c r="C291" s="10">
        <v>6.3</v>
      </c>
      <c r="D291" s="11">
        <v>3.3</v>
      </c>
      <c r="E291" s="11">
        <v>4.7</v>
      </c>
      <c r="F291" s="11">
        <v>1.6</v>
      </c>
      <c r="G291" s="39">
        <v>1</v>
      </c>
      <c r="I291" s="38">
        <f>I290-K2*T290</f>
        <v>0.31473817762339773</v>
      </c>
      <c r="J291" s="40">
        <f>J290-K2*U290</f>
        <v>-0.48904174738887718</v>
      </c>
      <c r="K291" s="40">
        <f>K290-K2*V290</f>
        <v>-0.20002325293405215</v>
      </c>
      <c r="L291" s="40">
        <f>L290-K2*W290</f>
        <v>1.0479895586177284</v>
      </c>
      <c r="M291" s="40">
        <f>M290-K2*X290</f>
        <v>0.77669999337563134</v>
      </c>
      <c r="N291" s="35">
        <f t="shared" si="100"/>
        <v>2.7419693492954327</v>
      </c>
      <c r="O291" s="35">
        <f t="shared" si="101"/>
        <v>0.93945820334106889</v>
      </c>
      <c r="P291" s="36">
        <f t="shared" si="102"/>
        <v>1</v>
      </c>
      <c r="Q291" s="36">
        <f t="shared" si="103"/>
        <v>-6.0541796658931113E-2</v>
      </c>
      <c r="R291" s="37">
        <f t="shared" si="104"/>
        <v>3.6653091426913625E-3</v>
      </c>
      <c r="T291" s="31">
        <f t="shared" si="105"/>
        <v>-6.8868094837648414E-3</v>
      </c>
      <c r="U291" s="31">
        <f t="shared" si="106"/>
        <v>-4.3386899747718498E-2</v>
      </c>
      <c r="V291" s="31">
        <f t="shared" si="107"/>
        <v>-2.2726471296423974E-2</v>
      </c>
      <c r="W291" s="31">
        <f t="shared" si="108"/>
        <v>-3.2368004573694757E-2</v>
      </c>
      <c r="X291" s="31">
        <f t="shared" si="109"/>
        <v>-1.1018895174023748E-2</v>
      </c>
    </row>
    <row r="292" spans="1:24" ht="14.25" customHeight="1" x14ac:dyDescent="0.3">
      <c r="A292" s="3"/>
      <c r="B292" s="38">
        <v>48</v>
      </c>
      <c r="C292" s="10">
        <v>4.9000000000000004</v>
      </c>
      <c r="D292" s="11">
        <v>2.4</v>
      </c>
      <c r="E292" s="11">
        <v>3.3</v>
      </c>
      <c r="F292" s="11">
        <v>1</v>
      </c>
      <c r="G292" s="39">
        <v>1</v>
      </c>
      <c r="I292" s="38">
        <f>I291-K2*T291</f>
        <v>0.31542685857177422</v>
      </c>
      <c r="J292" s="40">
        <f>J291-K2*U291</f>
        <v>-0.48470305741410535</v>
      </c>
      <c r="K292" s="40">
        <f>K291-K2*V291</f>
        <v>-0.19775060580440976</v>
      </c>
      <c r="L292" s="40">
        <f>L291-K2*W291</f>
        <v>1.0512263590750979</v>
      </c>
      <c r="M292" s="40">
        <f>M291-K2*X291</f>
        <v>0.77780188289303376</v>
      </c>
      <c r="N292" s="35">
        <f t="shared" si="100"/>
        <v>1.7126292911529306</v>
      </c>
      <c r="O292" s="35">
        <f t="shared" si="101"/>
        <v>0.84717700446049027</v>
      </c>
      <c r="P292" s="36">
        <f t="shared" si="102"/>
        <v>1</v>
      </c>
      <c r="Q292" s="36">
        <f t="shared" si="103"/>
        <v>-0.15282299553950973</v>
      </c>
      <c r="R292" s="37">
        <f t="shared" si="104"/>
        <v>2.3354867965669011E-2</v>
      </c>
      <c r="T292" s="31">
        <f t="shared" si="105"/>
        <v>-3.9571414165451478E-2</v>
      </c>
      <c r="U292" s="31">
        <f t="shared" si="106"/>
        <v>-0.19389992941071227</v>
      </c>
      <c r="V292" s="31">
        <f t="shared" si="107"/>
        <v>-9.4971393997083542E-2</v>
      </c>
      <c r="W292" s="31">
        <f t="shared" si="108"/>
        <v>-0.13058566674598987</v>
      </c>
      <c r="X292" s="31">
        <f t="shared" si="109"/>
        <v>-3.9571414165451478E-2</v>
      </c>
    </row>
    <row r="293" spans="1:24" ht="14.25" customHeight="1" x14ac:dyDescent="0.3">
      <c r="A293" s="3"/>
      <c r="B293" s="38">
        <v>49</v>
      </c>
      <c r="C293" s="10">
        <v>6.6</v>
      </c>
      <c r="D293" s="11">
        <v>2.9</v>
      </c>
      <c r="E293" s="11">
        <v>4.5999999999999996</v>
      </c>
      <c r="F293" s="11">
        <v>1.3</v>
      </c>
      <c r="G293" s="39">
        <v>1</v>
      </c>
      <c r="I293" s="38">
        <f>I292-K2*T292</f>
        <v>0.31938399998831934</v>
      </c>
      <c r="J293" s="40">
        <f>J292-K2*U292</f>
        <v>-0.46531306447303411</v>
      </c>
      <c r="K293" s="40">
        <f>K292-K2*V292</f>
        <v>-0.18825346640470139</v>
      </c>
      <c r="L293" s="40">
        <f>L292-K2*W292</f>
        <v>1.0642849257496969</v>
      </c>
      <c r="M293" s="40">
        <f>M292-K2*X292</f>
        <v>0.78175902430957889</v>
      </c>
      <c r="N293" s="35">
        <f t="shared" si="100"/>
        <v>2.614380111943718</v>
      </c>
      <c r="O293" s="35">
        <f t="shared" si="101"/>
        <v>0.9317813446390979</v>
      </c>
      <c r="P293" s="36">
        <f t="shared" si="102"/>
        <v>1</v>
      </c>
      <c r="Q293" s="36">
        <f t="shared" si="103"/>
        <v>-6.8218655360902103E-2</v>
      </c>
      <c r="R293" s="37">
        <f t="shared" si="104"/>
        <v>4.6537849392495369E-3</v>
      </c>
      <c r="T293" s="31">
        <f t="shared" si="105"/>
        <v>-8.6726199767102313E-3</v>
      </c>
      <c r="U293" s="31">
        <f t="shared" si="106"/>
        <v>-5.7239291846287524E-2</v>
      </c>
      <c r="V293" s="31">
        <f t="shared" si="107"/>
        <v>-2.5150597932459669E-2</v>
      </c>
      <c r="W293" s="31">
        <f t="shared" si="108"/>
        <v>-3.9894051892867058E-2</v>
      </c>
      <c r="X293" s="31">
        <f t="shared" si="109"/>
        <v>-1.1274405969723301E-2</v>
      </c>
    </row>
    <row r="294" spans="1:24" ht="14.25" customHeight="1" x14ac:dyDescent="0.3">
      <c r="A294" s="3"/>
      <c r="B294" s="38">
        <v>50</v>
      </c>
      <c r="C294" s="10">
        <v>5.2</v>
      </c>
      <c r="D294" s="11">
        <v>2.7</v>
      </c>
      <c r="E294" s="11">
        <v>3.9</v>
      </c>
      <c r="F294" s="11">
        <v>1.4</v>
      </c>
      <c r="G294" s="39">
        <v>1</v>
      </c>
      <c r="I294" s="38">
        <f>I293-K2*T293</f>
        <v>0.32025126198599035</v>
      </c>
      <c r="J294" s="40">
        <f>J293-K2*U293</f>
        <v>-0.45958913528840534</v>
      </c>
      <c r="K294" s="40">
        <f>K293-K2*V293</f>
        <v>-0.18573840661145544</v>
      </c>
      <c r="L294" s="40">
        <f>L293-K2*W293</f>
        <v>1.0682743309389837</v>
      </c>
      <c r="M294" s="40">
        <f>M293-K2*X293</f>
        <v>0.78288646490655123</v>
      </c>
      <c r="N294" s="35">
        <f t="shared" si="100"/>
        <v>2.6912050021665612</v>
      </c>
      <c r="O294" s="35">
        <f t="shared" si="101"/>
        <v>0.93650567216539804</v>
      </c>
      <c r="P294" s="36">
        <f t="shared" si="102"/>
        <v>1</v>
      </c>
      <c r="Q294" s="36">
        <f t="shared" si="103"/>
        <v>-6.349432783460196E-2</v>
      </c>
      <c r="R294" s="37">
        <f t="shared" si="104"/>
        <v>4.0315296671679093E-3</v>
      </c>
      <c r="T294" s="31">
        <f t="shared" si="105"/>
        <v>-7.5511008016116528E-3</v>
      </c>
      <c r="U294" s="31">
        <f t="shared" si="106"/>
        <v>-3.9265724168380596E-2</v>
      </c>
      <c r="V294" s="31">
        <f t="shared" si="107"/>
        <v>-2.0387972164351464E-2</v>
      </c>
      <c r="W294" s="31">
        <f t="shared" si="108"/>
        <v>-2.9449293126285445E-2</v>
      </c>
      <c r="X294" s="31">
        <f t="shared" si="109"/>
        <v>-1.0571541122256313E-2</v>
      </c>
    </row>
    <row r="295" spans="1:24" ht="14.25" customHeight="1" x14ac:dyDescent="0.3">
      <c r="A295" s="3"/>
      <c r="B295" s="38">
        <v>51</v>
      </c>
      <c r="C295" s="10">
        <v>5</v>
      </c>
      <c r="D295" s="11">
        <v>2</v>
      </c>
      <c r="E295" s="11">
        <v>3.5</v>
      </c>
      <c r="F295" s="11">
        <v>1</v>
      </c>
      <c r="G295" s="39">
        <v>1</v>
      </c>
      <c r="I295" s="38">
        <f>I294-K2*T294</f>
        <v>0.32100637206615151</v>
      </c>
      <c r="J295" s="40">
        <f>J294-K2*U294</f>
        <v>-0.45566256287156726</v>
      </c>
      <c r="K295" s="40">
        <f>K294-K2*V294</f>
        <v>-0.18369960939502028</v>
      </c>
      <c r="L295" s="40">
        <f>L294-K2*W294</f>
        <v>1.0712192602516122</v>
      </c>
      <c r="M295" s="40">
        <f>M294-K2*X294</f>
        <v>0.78394361901877685</v>
      </c>
      <c r="N295" s="35">
        <f t="shared" si="100"/>
        <v>2.2085053688176943</v>
      </c>
      <c r="O295" s="35">
        <f t="shared" si="101"/>
        <v>0.90101069991719174</v>
      </c>
      <c r="P295" s="36">
        <f t="shared" si="102"/>
        <v>1</v>
      </c>
      <c r="Q295" s="36">
        <f t="shared" si="103"/>
        <v>-9.8989300082808263E-2</v>
      </c>
      <c r="R295" s="37">
        <f t="shared" si="104"/>
        <v>9.7988815308842642E-3</v>
      </c>
      <c r="T295" s="31">
        <f t="shared" si="105"/>
        <v>-1.7657794213095348E-2</v>
      </c>
      <c r="U295" s="31">
        <f t="shared" si="106"/>
        <v>-8.8288971065476743E-2</v>
      </c>
      <c r="V295" s="31">
        <f t="shared" si="107"/>
        <v>-3.5315588426190696E-2</v>
      </c>
      <c r="W295" s="31">
        <f t="shared" si="108"/>
        <v>-6.1802279745833716E-2</v>
      </c>
      <c r="X295" s="31">
        <f t="shared" si="109"/>
        <v>-1.7657794213095348E-2</v>
      </c>
    </row>
    <row r="296" spans="1:24" ht="14.25" customHeight="1" x14ac:dyDescent="0.3">
      <c r="A296" s="3"/>
      <c r="B296" s="38">
        <v>52</v>
      </c>
      <c r="C296" s="10">
        <v>5.9</v>
      </c>
      <c r="D296" s="11">
        <v>3</v>
      </c>
      <c r="E296" s="11">
        <v>4.2</v>
      </c>
      <c r="F296" s="11">
        <v>1.5</v>
      </c>
      <c r="G296" s="39">
        <v>1</v>
      </c>
      <c r="I296" s="38">
        <f>I295-K2*T295</f>
        <v>0.32277215148746102</v>
      </c>
      <c r="J296" s="40">
        <f>J295-K2*U295</f>
        <v>-0.44683366576501959</v>
      </c>
      <c r="K296" s="40">
        <f>K295-K2*V295</f>
        <v>-0.1801680505524012</v>
      </c>
      <c r="L296" s="40">
        <f>L295-K2*W295</f>
        <v>1.0773994882261955</v>
      </c>
      <c r="M296" s="40">
        <f>M295-K2*X295</f>
        <v>0.78570939844008636</v>
      </c>
      <c r="N296" s="35">
        <f t="shared" si="100"/>
        <v>2.8495913200267919</v>
      </c>
      <c r="O296" s="35">
        <f t="shared" si="101"/>
        <v>0.9452975537518703</v>
      </c>
      <c r="P296" s="36">
        <f t="shared" si="102"/>
        <v>1</v>
      </c>
      <c r="Q296" s="36">
        <f t="shared" si="103"/>
        <v>-5.4702446248129699E-2</v>
      </c>
      <c r="R296" s="37">
        <f t="shared" si="104"/>
        <v>2.992357625529519E-3</v>
      </c>
      <c r="T296" s="31">
        <f t="shared" si="105"/>
        <v>-5.657336686727619E-3</v>
      </c>
      <c r="U296" s="31">
        <f t="shared" si="106"/>
        <v>-3.3378286451692954E-2</v>
      </c>
      <c r="V296" s="31">
        <f t="shared" si="107"/>
        <v>-1.6972010060182858E-2</v>
      </c>
      <c r="W296" s="31">
        <f t="shared" si="108"/>
        <v>-2.3760814084256E-2</v>
      </c>
      <c r="X296" s="31">
        <f t="shared" si="109"/>
        <v>-8.4860050300914289E-3</v>
      </c>
    </row>
    <row r="297" spans="1:24" ht="14.25" customHeight="1" x14ac:dyDescent="0.3">
      <c r="A297" s="3"/>
      <c r="B297" s="38">
        <v>53</v>
      </c>
      <c r="C297" s="10">
        <v>6</v>
      </c>
      <c r="D297" s="11">
        <v>2.2000000000000002</v>
      </c>
      <c r="E297" s="11">
        <v>4</v>
      </c>
      <c r="F297" s="11">
        <v>1</v>
      </c>
      <c r="G297" s="39">
        <v>1</v>
      </c>
      <c r="I297" s="38">
        <f>I296-K2*T296</f>
        <v>0.32333788515613376</v>
      </c>
      <c r="J297" s="40">
        <f>J296-K2*U296</f>
        <v>-0.4434958371198503</v>
      </c>
      <c r="K297" s="40">
        <f>K296-K2*V296</f>
        <v>-0.17847084954638293</v>
      </c>
      <c r="L297" s="40">
        <f>L296-K2*W296</f>
        <v>1.079775569634621</v>
      </c>
      <c r="M297" s="40">
        <f>M296-K2*X296</f>
        <v>0.78655799894309553</v>
      </c>
      <c r="N297" s="35">
        <f t="shared" si="100"/>
        <v>2.3753872709165686</v>
      </c>
      <c r="O297" s="35">
        <f t="shared" si="101"/>
        <v>0.91493110197686855</v>
      </c>
      <c r="P297" s="36">
        <f t="shared" si="102"/>
        <v>1</v>
      </c>
      <c r="Q297" s="36">
        <f t="shared" si="103"/>
        <v>-8.5068898023131445E-2</v>
      </c>
      <c r="R297" s="37">
        <f t="shared" si="104"/>
        <v>7.2367174108699372E-3</v>
      </c>
      <c r="T297" s="31">
        <f t="shared" si="105"/>
        <v>-1.3242195670844845E-2</v>
      </c>
      <c r="U297" s="31">
        <f t="shared" si="106"/>
        <v>-7.9453174025069073E-2</v>
      </c>
      <c r="V297" s="31">
        <f t="shared" si="107"/>
        <v>-2.913283047585866E-2</v>
      </c>
      <c r="W297" s="31">
        <f t="shared" si="108"/>
        <v>-5.296878268337938E-2</v>
      </c>
      <c r="X297" s="31">
        <f t="shared" si="109"/>
        <v>-1.3242195670844845E-2</v>
      </c>
    </row>
    <row r="298" spans="1:24" ht="14.25" customHeight="1" x14ac:dyDescent="0.3">
      <c r="A298" s="3"/>
      <c r="B298" s="38">
        <v>54</v>
      </c>
      <c r="C298" s="10">
        <v>6.1</v>
      </c>
      <c r="D298" s="11">
        <v>2.9</v>
      </c>
      <c r="E298" s="11">
        <v>4.7</v>
      </c>
      <c r="F298" s="11">
        <v>1.4</v>
      </c>
      <c r="G298" s="39">
        <v>1</v>
      </c>
      <c r="I298" s="38">
        <f>I297-K2*T297</f>
        <v>0.32466210472321827</v>
      </c>
      <c r="J298" s="40">
        <f>J297-K2*U297</f>
        <v>-0.43555051971734338</v>
      </c>
      <c r="K298" s="40">
        <f>K297-K2*V297</f>
        <v>-0.17555756649879706</v>
      </c>
      <c r="L298" s="40">
        <f>L297-K2*W297</f>
        <v>1.085072447902959</v>
      </c>
      <c r="M298" s="40">
        <f>M297-K2*X297</f>
        <v>0.78788221851018003</v>
      </c>
      <c r="N298" s="35">
        <f t="shared" si="100"/>
        <v>3.3615626026590713</v>
      </c>
      <c r="O298" s="35">
        <f t="shared" si="101"/>
        <v>0.96648143425861799</v>
      </c>
      <c r="P298" s="36">
        <f t="shared" si="102"/>
        <v>1</v>
      </c>
      <c r="Q298" s="36">
        <f t="shared" si="103"/>
        <v>-3.3518565741382012E-2</v>
      </c>
      <c r="R298" s="37">
        <f t="shared" si="104"/>
        <v>1.1234942493593479E-3</v>
      </c>
      <c r="T298" s="31">
        <f t="shared" si="105"/>
        <v>-2.1716726670042638E-3</v>
      </c>
      <c r="U298" s="31">
        <f t="shared" si="106"/>
        <v>-1.3247203268726009E-2</v>
      </c>
      <c r="V298" s="31">
        <f t="shared" si="107"/>
        <v>-6.2978507343123651E-3</v>
      </c>
      <c r="W298" s="31">
        <f t="shared" si="108"/>
        <v>-1.020686153492004E-2</v>
      </c>
      <c r="X298" s="31">
        <f t="shared" si="109"/>
        <v>-3.0403417338059693E-3</v>
      </c>
    </row>
    <row r="299" spans="1:24" ht="14.25" customHeight="1" x14ac:dyDescent="0.3">
      <c r="A299" s="3"/>
      <c r="B299" s="38">
        <v>55</v>
      </c>
      <c r="C299" s="10">
        <v>5.6</v>
      </c>
      <c r="D299" s="11">
        <v>2.9</v>
      </c>
      <c r="E299" s="11">
        <v>3.6</v>
      </c>
      <c r="F299" s="11">
        <v>1.3</v>
      </c>
      <c r="G299" s="39">
        <v>1</v>
      </c>
      <c r="I299" s="38">
        <f>I298-K2*T298</f>
        <v>0.32487927198991867</v>
      </c>
      <c r="J299" s="40">
        <f>J298-K2*U298</f>
        <v>-0.43422579939047079</v>
      </c>
      <c r="K299" s="40">
        <f>K298-K2*V298</f>
        <v>-0.17492778142536583</v>
      </c>
      <c r="L299" s="40">
        <f>L298-K2*W298</f>
        <v>1.086093134056451</v>
      </c>
      <c r="M299" s="40">
        <f>M298-K2*X298</f>
        <v>0.78818625268356068</v>
      </c>
      <c r="N299" s="35">
        <f t="shared" si="100"/>
        <v>2.3205016403615746</v>
      </c>
      <c r="O299" s="35">
        <f t="shared" si="101"/>
        <v>0.9105608025857056</v>
      </c>
      <c r="P299" s="36">
        <f t="shared" si="102"/>
        <v>1</v>
      </c>
      <c r="Q299" s="36">
        <f t="shared" si="103"/>
        <v>-8.9439197414294402E-2</v>
      </c>
      <c r="R299" s="37">
        <f t="shared" si="104"/>
        <v>7.999370034113126E-3</v>
      </c>
      <c r="T299" s="31">
        <f t="shared" si="105"/>
        <v>-1.4567825596884182E-2</v>
      </c>
      <c r="U299" s="31">
        <f t="shared" si="106"/>
        <v>-8.1579823342551414E-2</v>
      </c>
      <c r="V299" s="31">
        <f t="shared" si="107"/>
        <v>-4.2246694230964124E-2</v>
      </c>
      <c r="W299" s="31">
        <f t="shared" si="108"/>
        <v>-5.2444172148783059E-2</v>
      </c>
      <c r="X299" s="31">
        <f t="shared" si="109"/>
        <v>-1.8938173275949436E-2</v>
      </c>
    </row>
    <row r="300" spans="1:24" ht="14.25" customHeight="1" x14ac:dyDescent="0.3">
      <c r="A300" s="3"/>
      <c r="B300" s="38">
        <v>56</v>
      </c>
      <c r="C300" s="10">
        <v>6.7</v>
      </c>
      <c r="D300" s="11">
        <v>3.1</v>
      </c>
      <c r="E300" s="11">
        <v>4.4000000000000004</v>
      </c>
      <c r="F300" s="11">
        <v>1.4</v>
      </c>
      <c r="G300" s="39">
        <v>1</v>
      </c>
      <c r="I300" s="38">
        <f>I299-K2*T299</f>
        <v>0.32633605454960707</v>
      </c>
      <c r="J300" s="40">
        <f>J299-K2*U299</f>
        <v>-0.42606781705621566</v>
      </c>
      <c r="K300" s="40">
        <f>K299-K2*V299</f>
        <v>-0.17070311200226942</v>
      </c>
      <c r="L300" s="40">
        <f>L299-K2*W299</f>
        <v>1.0913375512713293</v>
      </c>
      <c r="M300" s="40">
        <f>M299-K2*X299</f>
        <v>0.79008007001115566</v>
      </c>
      <c r="N300" s="35">
        <f t="shared" si="100"/>
        <v>2.8504993566753938</v>
      </c>
      <c r="O300" s="35">
        <f t="shared" si="101"/>
        <v>0.94534448942594163</v>
      </c>
      <c r="P300" s="36">
        <f t="shared" si="102"/>
        <v>1</v>
      </c>
      <c r="Q300" s="36">
        <f t="shared" si="103"/>
        <v>-5.4655510574058375E-2</v>
      </c>
      <c r="R300" s="37">
        <f t="shared" si="104"/>
        <v>2.9872248361110069E-3</v>
      </c>
      <c r="T300" s="31">
        <f t="shared" si="105"/>
        <v>-5.6479130749877036E-3</v>
      </c>
      <c r="U300" s="31">
        <f t="shared" si="106"/>
        <v>-3.7841017602417613E-2</v>
      </c>
      <c r="V300" s="31">
        <f t="shared" si="107"/>
        <v>-1.7508530532461881E-2</v>
      </c>
      <c r="W300" s="31">
        <f t="shared" si="108"/>
        <v>-2.4850817529945897E-2</v>
      </c>
      <c r="X300" s="31">
        <f t="shared" si="109"/>
        <v>-7.9070783049827852E-3</v>
      </c>
    </row>
    <row r="301" spans="1:24" ht="14.25" customHeight="1" x14ac:dyDescent="0.3">
      <c r="A301" s="3"/>
      <c r="B301" s="38">
        <v>57</v>
      </c>
      <c r="C301" s="10">
        <v>5.6</v>
      </c>
      <c r="D301" s="11">
        <v>3</v>
      </c>
      <c r="E301" s="11">
        <v>4.5</v>
      </c>
      <c r="F301" s="11">
        <v>1.5</v>
      </c>
      <c r="G301" s="39">
        <v>1</v>
      </c>
      <c r="I301" s="38">
        <f>I300-K2*T300</f>
        <v>0.32690084585710583</v>
      </c>
      <c r="J301" s="40">
        <f>J300-K2*U300</f>
        <v>-0.42228371529597392</v>
      </c>
      <c r="K301" s="40">
        <f>K300-K2*V300</f>
        <v>-0.16895225894902324</v>
      </c>
      <c r="L301" s="40">
        <f>L300-K2*W300</f>
        <v>1.0938226330243239</v>
      </c>
      <c r="M301" s="40">
        <f>M300-K2*X300</f>
        <v>0.79087077784165394</v>
      </c>
      <c r="N301" s="35">
        <f t="shared" si="100"/>
        <v>3.5637632787245206</v>
      </c>
      <c r="O301" s="35">
        <f t="shared" si="101"/>
        <v>0.97244858416851698</v>
      </c>
      <c r="P301" s="36">
        <f t="shared" si="102"/>
        <v>1</v>
      </c>
      <c r="Q301" s="36">
        <f t="shared" si="103"/>
        <v>-2.7551415831483017E-2</v>
      </c>
      <c r="R301" s="37">
        <f t="shared" si="104"/>
        <v>7.5908051431929308E-4</v>
      </c>
      <c r="T301" s="31">
        <f t="shared" si="105"/>
        <v>-1.4763335428394126E-3</v>
      </c>
      <c r="U301" s="31">
        <f t="shared" si="106"/>
        <v>-8.2674678399007103E-3</v>
      </c>
      <c r="V301" s="31">
        <f t="shared" si="107"/>
        <v>-4.4290006285182381E-3</v>
      </c>
      <c r="W301" s="31">
        <f t="shared" si="108"/>
        <v>-6.6435009427773563E-3</v>
      </c>
      <c r="X301" s="31">
        <f t="shared" si="109"/>
        <v>-2.2145003142591191E-3</v>
      </c>
    </row>
    <row r="302" spans="1:24" ht="14.25" customHeight="1" x14ac:dyDescent="0.3">
      <c r="A302" s="3"/>
      <c r="B302" s="38">
        <v>58</v>
      </c>
      <c r="C302" s="10">
        <v>5.8</v>
      </c>
      <c r="D302" s="11">
        <v>2.7</v>
      </c>
      <c r="E302" s="11">
        <v>4.0999999999999996</v>
      </c>
      <c r="F302" s="11">
        <v>1</v>
      </c>
      <c r="G302" s="39">
        <v>1</v>
      </c>
      <c r="I302" s="38">
        <f>I301-K2*T301</f>
        <v>0.32704847921138974</v>
      </c>
      <c r="J302" s="40">
        <f>J301-K2*U301</f>
        <v>-0.42145696851198383</v>
      </c>
      <c r="K302" s="40">
        <f>K301-K2*V301</f>
        <v>-0.16850935888617141</v>
      </c>
      <c r="L302" s="40">
        <f>L301-K2*W301</f>
        <v>1.0944869831186017</v>
      </c>
      <c r="M302" s="40">
        <f>M301-K2*X301</f>
        <v>0.79109222787307987</v>
      </c>
      <c r="N302" s="35">
        <f t="shared" si="100"/>
        <v>2.7061116515085666</v>
      </c>
      <c r="O302" s="35">
        <f t="shared" si="101"/>
        <v>0.93738631672881056</v>
      </c>
      <c r="P302" s="36">
        <f t="shared" si="102"/>
        <v>1</v>
      </c>
      <c r="Q302" s="36">
        <f t="shared" si="103"/>
        <v>-6.2613683271189435E-2</v>
      </c>
      <c r="R302" s="37">
        <f t="shared" si="104"/>
        <v>3.9204733327848282E-3</v>
      </c>
      <c r="T302" s="31">
        <f t="shared" si="105"/>
        <v>-7.3499961145053888E-3</v>
      </c>
      <c r="U302" s="31">
        <f t="shared" si="106"/>
        <v>-4.2629977464131254E-2</v>
      </c>
      <c r="V302" s="31">
        <f t="shared" si="107"/>
        <v>-1.9844989509164551E-2</v>
      </c>
      <c r="W302" s="31">
        <f t="shared" si="108"/>
        <v>-3.0134984069472091E-2</v>
      </c>
      <c r="X302" s="31">
        <f t="shared" si="109"/>
        <v>-7.3499961145053888E-3</v>
      </c>
    </row>
    <row r="303" spans="1:24" ht="14.25" customHeight="1" x14ac:dyDescent="0.3">
      <c r="A303" s="3"/>
      <c r="B303" s="38">
        <v>59</v>
      </c>
      <c r="C303" s="10">
        <v>6.2</v>
      </c>
      <c r="D303" s="11">
        <v>2.2000000000000002</v>
      </c>
      <c r="E303" s="11">
        <v>4.5</v>
      </c>
      <c r="F303" s="11">
        <v>1.5</v>
      </c>
      <c r="G303" s="39">
        <v>1</v>
      </c>
      <c r="I303" s="38">
        <f>I302-K2*T302</f>
        <v>0.32778347882284026</v>
      </c>
      <c r="J303" s="40">
        <f>J302-K2*U302</f>
        <v>-0.41719397076557069</v>
      </c>
      <c r="K303" s="40">
        <f>K302-K2*V302</f>
        <v>-0.16652485993525495</v>
      </c>
      <c r="L303" s="40">
        <f>L302-K2*W302</f>
        <v>1.0975004815255489</v>
      </c>
      <c r="M303" s="40">
        <f>M302-K2*X302</f>
        <v>0.79182722748453038</v>
      </c>
      <c r="N303" s="35">
        <f t="shared" si="100"/>
        <v>3.5013191763105063</v>
      </c>
      <c r="O303" s="35">
        <f t="shared" si="101"/>
        <v>0.97072528050677209</v>
      </c>
      <c r="P303" s="36">
        <f t="shared" si="102"/>
        <v>1</v>
      </c>
      <c r="Q303" s="36">
        <f t="shared" si="103"/>
        <v>-2.9274719493227908E-2</v>
      </c>
      <c r="R303" s="37">
        <f t="shared" si="104"/>
        <v>8.5700920140717798E-4</v>
      </c>
      <c r="T303" s="31">
        <f t="shared" si="105"/>
        <v>-1.6638409948657351E-3</v>
      </c>
      <c r="U303" s="31">
        <f t="shared" si="106"/>
        <v>-1.0315814168167558E-2</v>
      </c>
      <c r="V303" s="31">
        <f t="shared" si="107"/>
        <v>-3.6604501887046175E-3</v>
      </c>
      <c r="W303" s="31">
        <f t="shared" si="108"/>
        <v>-7.4872844768958079E-3</v>
      </c>
      <c r="X303" s="31">
        <f t="shared" si="109"/>
        <v>-2.4957614922986029E-3</v>
      </c>
    </row>
    <row r="304" spans="1:24" ht="14.25" customHeight="1" x14ac:dyDescent="0.3">
      <c r="A304" s="3"/>
      <c r="B304" s="38">
        <v>60</v>
      </c>
      <c r="C304" s="10">
        <v>5.6</v>
      </c>
      <c r="D304" s="11">
        <v>2.5</v>
      </c>
      <c r="E304" s="11">
        <v>3.9</v>
      </c>
      <c r="F304" s="11">
        <v>1.1000000000000001</v>
      </c>
      <c r="G304" s="39">
        <v>1</v>
      </c>
      <c r="I304" s="38">
        <f>I303-K2*T303</f>
        <v>0.32794986292232681</v>
      </c>
      <c r="J304" s="40">
        <f>J303-K2*U303</f>
        <v>-0.41616238934875394</v>
      </c>
      <c r="K304" s="40">
        <f>K303-K2*V303</f>
        <v>-0.16615881491638448</v>
      </c>
      <c r="L304" s="40">
        <f>L303-K2*W303</f>
        <v>1.0982492099732384</v>
      </c>
      <c r="M304" s="40">
        <f>M303-K2*X303</f>
        <v>0.79207680363376021</v>
      </c>
      <c r="N304" s="35">
        <f t="shared" si="100"/>
        <v>2.7364998481711091</v>
      </c>
      <c r="O304" s="35">
        <f t="shared" si="101"/>
        <v>0.93914636857465172</v>
      </c>
      <c r="P304" s="36">
        <f t="shared" si="102"/>
        <v>1</v>
      </c>
      <c r="Q304" s="36">
        <f t="shared" si="103"/>
        <v>-6.0853631425348276E-2</v>
      </c>
      <c r="R304" s="37">
        <f t="shared" si="104"/>
        <v>3.703164457652135E-3</v>
      </c>
      <c r="T304" s="31">
        <f t="shared" si="105"/>
        <v>-6.9556269052774445E-3</v>
      </c>
      <c r="U304" s="31">
        <f t="shared" si="106"/>
        <v>-3.8951510669553685E-2</v>
      </c>
      <c r="V304" s="31">
        <f t="shared" si="107"/>
        <v>-1.738906726319361E-2</v>
      </c>
      <c r="W304" s="31">
        <f t="shared" si="108"/>
        <v>-2.7126944930582032E-2</v>
      </c>
      <c r="X304" s="31">
        <f t="shared" si="109"/>
        <v>-7.65118959580519E-3</v>
      </c>
    </row>
    <row r="305" spans="1:24" ht="14.25" customHeight="1" x14ac:dyDescent="0.3">
      <c r="A305" s="3"/>
      <c r="B305" s="38">
        <v>61</v>
      </c>
      <c r="C305" s="10">
        <v>5.9</v>
      </c>
      <c r="D305" s="11">
        <v>3.2</v>
      </c>
      <c r="E305" s="11">
        <v>4.8</v>
      </c>
      <c r="F305" s="11">
        <v>1.8</v>
      </c>
      <c r="G305" s="39">
        <v>1</v>
      </c>
      <c r="I305" s="38">
        <f>I304-K2*T304</f>
        <v>0.32864542561285454</v>
      </c>
      <c r="J305" s="40">
        <f>J304-K2*U304</f>
        <v>-0.41226723828179856</v>
      </c>
      <c r="K305" s="40">
        <f>K304-K2*V304</f>
        <v>-0.16441990819006513</v>
      </c>
      <c r="L305" s="40">
        <f>L304-K2*W304</f>
        <v>1.1009619044662966</v>
      </c>
      <c r="M305" s="40">
        <f>M304-K2*X304</f>
        <v>0.79284192259334074</v>
      </c>
      <c r="N305" s="35">
        <f t="shared" si="100"/>
        <v>4.0818576156482713</v>
      </c>
      <c r="O305" s="35">
        <f t="shared" si="101"/>
        <v>0.98340398850424937</v>
      </c>
      <c r="P305" s="36">
        <f t="shared" si="102"/>
        <v>1</v>
      </c>
      <c r="Q305" s="36">
        <f t="shared" si="103"/>
        <v>-1.6596011495750629E-2</v>
      </c>
      <c r="R305" s="37">
        <f t="shared" si="104"/>
        <v>2.7542759756708703E-4</v>
      </c>
      <c r="T305" s="31">
        <f t="shared" si="105"/>
        <v>-5.4171319598323331E-4</v>
      </c>
      <c r="U305" s="31">
        <f t="shared" si="106"/>
        <v>-3.1961078563010766E-3</v>
      </c>
      <c r="V305" s="31">
        <f t="shared" si="107"/>
        <v>-1.7334822271463466E-3</v>
      </c>
      <c r="W305" s="31">
        <f t="shared" si="108"/>
        <v>-2.6002233407195199E-3</v>
      </c>
      <c r="X305" s="31">
        <f t="shared" si="109"/>
        <v>-9.7508375276981996E-4</v>
      </c>
    </row>
    <row r="306" spans="1:24" ht="14.25" customHeight="1" x14ac:dyDescent="0.3">
      <c r="A306" s="3"/>
      <c r="B306" s="38">
        <v>62</v>
      </c>
      <c r="C306" s="10">
        <v>6.1</v>
      </c>
      <c r="D306" s="11">
        <v>2.8</v>
      </c>
      <c r="E306" s="11">
        <v>4</v>
      </c>
      <c r="F306" s="11">
        <v>1.3</v>
      </c>
      <c r="G306" s="39">
        <v>1</v>
      </c>
      <c r="I306" s="38">
        <f>I305-K2*T305</f>
        <v>0.32869959693245288</v>
      </c>
      <c r="J306" s="40">
        <f>J305-K2*U305</f>
        <v>-0.41194762749616848</v>
      </c>
      <c r="K306" s="40">
        <f>K305-K2*V305</f>
        <v>-0.16424655996735049</v>
      </c>
      <c r="L306" s="40">
        <f>L305-K2*W305</f>
        <v>1.1012219268003685</v>
      </c>
      <c r="M306" s="40">
        <f>M305-K2*X305</f>
        <v>0.79293943096861774</v>
      </c>
      <c r="N306" s="35">
        <f t="shared" si="100"/>
        <v>2.7916376687579207</v>
      </c>
      <c r="O306" s="35">
        <f t="shared" si="101"/>
        <v>0.94222226313608037</v>
      </c>
      <c r="P306" s="36">
        <f t="shared" si="102"/>
        <v>1</v>
      </c>
      <c r="Q306" s="36">
        <f t="shared" si="103"/>
        <v>-5.7777736863919626E-2</v>
      </c>
      <c r="R306" s="37">
        <f t="shared" si="104"/>
        <v>3.3382668771163369E-3</v>
      </c>
      <c r="T306" s="31">
        <f t="shared" si="105"/>
        <v>-6.2907787438175409E-3</v>
      </c>
      <c r="U306" s="31">
        <f t="shared" si="106"/>
        <v>-3.8373750337286995E-2</v>
      </c>
      <c r="V306" s="31">
        <f t="shared" si="107"/>
        <v>-1.7614180482689114E-2</v>
      </c>
      <c r="W306" s="31">
        <f t="shared" si="108"/>
        <v>-2.5163114975270164E-2</v>
      </c>
      <c r="X306" s="31">
        <f t="shared" si="109"/>
        <v>-8.178012366962804E-3</v>
      </c>
    </row>
    <row r="307" spans="1:24" ht="14.25" customHeight="1" x14ac:dyDescent="0.3">
      <c r="A307" s="3"/>
      <c r="B307" s="38">
        <v>63</v>
      </c>
      <c r="C307" s="10">
        <v>6.3</v>
      </c>
      <c r="D307" s="11">
        <v>2.5</v>
      </c>
      <c r="E307" s="11">
        <v>4.9000000000000004</v>
      </c>
      <c r="F307" s="11">
        <v>1.5</v>
      </c>
      <c r="G307" s="39">
        <v>1</v>
      </c>
      <c r="I307" s="38">
        <f>I306-K2*T306</f>
        <v>0.32932867480683464</v>
      </c>
      <c r="J307" s="40">
        <f>J306-K2*U306</f>
        <v>-0.40811025246243976</v>
      </c>
      <c r="K307" s="40">
        <f>K306-K2*V306</f>
        <v>-0.16248514191908159</v>
      </c>
      <c r="L307" s="40">
        <f>L306-K2*W306</f>
        <v>1.1037382382978955</v>
      </c>
      <c r="M307" s="40">
        <f>M306-K2*X306</f>
        <v>0.79375723220531402</v>
      </c>
      <c r="N307" s="35">
        <f t="shared" si="100"/>
        <v>3.9509744454634204</v>
      </c>
      <c r="O307" s="35">
        <f t="shared" si="101"/>
        <v>0.98112709006181731</v>
      </c>
      <c r="P307" s="36">
        <f t="shared" si="102"/>
        <v>1</v>
      </c>
      <c r="Q307" s="36">
        <f t="shared" si="103"/>
        <v>-1.8872909938182691E-2</v>
      </c>
      <c r="R307" s="37">
        <f t="shared" si="104"/>
        <v>3.5618672953475502E-4</v>
      </c>
      <c r="T307" s="31">
        <f t="shared" si="105"/>
        <v>-6.989288989341395E-4</v>
      </c>
      <c r="U307" s="31">
        <f t="shared" si="106"/>
        <v>-4.4032520632850784E-3</v>
      </c>
      <c r="V307" s="31">
        <f t="shared" si="107"/>
        <v>-1.7473222473353488E-3</v>
      </c>
      <c r="W307" s="31">
        <f t="shared" si="108"/>
        <v>-3.424751604777284E-3</v>
      </c>
      <c r="X307" s="31">
        <f t="shared" si="109"/>
        <v>-1.0483933484012093E-3</v>
      </c>
    </row>
    <row r="308" spans="1:24" ht="14.25" customHeight="1" x14ac:dyDescent="0.3">
      <c r="A308" s="3"/>
      <c r="B308" s="38">
        <v>64</v>
      </c>
      <c r="C308" s="10">
        <v>6.1</v>
      </c>
      <c r="D308" s="11">
        <v>2.8</v>
      </c>
      <c r="E308" s="11">
        <v>4.7</v>
      </c>
      <c r="F308" s="11">
        <v>1.2</v>
      </c>
      <c r="G308" s="39">
        <v>1</v>
      </c>
      <c r="I308" s="38">
        <f>I307-K2*T307</f>
        <v>0.32939856769672804</v>
      </c>
      <c r="J308" s="40">
        <f>J307-K2*U307</f>
        <v>-0.40766992725611123</v>
      </c>
      <c r="K308" s="40">
        <f>K307-K2*V307</f>
        <v>-0.16231040969434804</v>
      </c>
      <c r="L308" s="40">
        <f>L307-K2*W307</f>
        <v>1.1040807134583732</v>
      </c>
      <c r="M308" s="40">
        <f>M307-K2*X307</f>
        <v>0.79386207154015409</v>
      </c>
      <c r="N308" s="35">
        <f t="shared" si="100"/>
        <v>3.5299567033928141</v>
      </c>
      <c r="O308" s="35">
        <f t="shared" si="101"/>
        <v>0.97152821470072126</v>
      </c>
      <c r="P308" s="36">
        <f t="shared" si="102"/>
        <v>1</v>
      </c>
      <c r="Q308" s="36">
        <f t="shared" si="103"/>
        <v>-2.847178529927874E-2</v>
      </c>
      <c r="R308" s="37">
        <f t="shared" si="104"/>
        <v>8.1064255812822493E-4</v>
      </c>
      <c r="T308" s="31">
        <f t="shared" si="105"/>
        <v>-1.5751242345174801E-3</v>
      </c>
      <c r="U308" s="31">
        <f t="shared" si="106"/>
        <v>-9.6082578305566272E-3</v>
      </c>
      <c r="V308" s="31">
        <f t="shared" si="107"/>
        <v>-4.4103478566489438E-3</v>
      </c>
      <c r="W308" s="31">
        <f t="shared" si="108"/>
        <v>-7.4030839022321566E-3</v>
      </c>
      <c r="X308" s="31">
        <f t="shared" si="109"/>
        <v>-1.8901490814209761E-3</v>
      </c>
    </row>
    <row r="309" spans="1:24" ht="14.25" customHeight="1" x14ac:dyDescent="0.3">
      <c r="A309" s="3"/>
      <c r="B309" s="38">
        <v>65</v>
      </c>
      <c r="C309" s="10">
        <v>6.4</v>
      </c>
      <c r="D309" s="11">
        <v>2.9</v>
      </c>
      <c r="E309" s="11">
        <v>4.3</v>
      </c>
      <c r="F309" s="11">
        <v>1.3</v>
      </c>
      <c r="G309" s="39">
        <v>1</v>
      </c>
      <c r="I309" s="38">
        <f>I308-K2*T308</f>
        <v>0.32955608012017978</v>
      </c>
      <c r="J309" s="40">
        <f>J308-K2*U308</f>
        <v>-0.40670910147305556</v>
      </c>
      <c r="K309" s="40">
        <f>K308-K2*V308</f>
        <v>-0.16186937490868314</v>
      </c>
      <c r="L309" s="40">
        <f>L308-K2*W308</f>
        <v>1.1048210218485965</v>
      </c>
      <c r="M309" s="40">
        <f>M308-K2*X308</f>
        <v>0.79405108644829614</v>
      </c>
      <c r="N309" s="35">
        <f t="shared" ref="N309:N324" si="110">I309+J309*C309+K309*D309+L309*E309+F309*M309</f>
        <v>3.0401934497891929</v>
      </c>
      <c r="O309" s="35">
        <f t="shared" ref="O309:O324" si="111">1/(1+EXP(-N309))</f>
        <v>0.95435725652914016</v>
      </c>
      <c r="P309" s="36">
        <f t="shared" ref="P309:P324" si="112">IF(O309&gt;0.5,1,0)</f>
        <v>1</v>
      </c>
      <c r="Q309" s="36">
        <f t="shared" ref="Q309:Q324" si="113">O309-G309</f>
        <v>-4.5642743470859837E-2</v>
      </c>
      <c r="R309" s="37">
        <f t="shared" ref="R309:R324" si="114">Q309^2</f>
        <v>2.0832600315467183E-3</v>
      </c>
      <c r="T309" s="31">
        <f t="shared" ref="T309:T324" si="115">2*(O309-G309)*(1-O309)*O309</f>
        <v>-3.976348656687472E-3</v>
      </c>
      <c r="U309" s="31">
        <f t="shared" ref="U309:U324" si="116">2*(O309-G309)*(1-O309)*O309*C309</f>
        <v>-2.5448631402799821E-2</v>
      </c>
      <c r="V309" s="31">
        <f t="shared" ref="V309:V324" si="117">2*(O309-G309)*(1-O309)*O309*D309</f>
        <v>-1.1531411104393669E-2</v>
      </c>
      <c r="W309" s="31">
        <f t="shared" ref="W309:W324" si="118">2*(O309-G309)*(1-O309)*O309*E309</f>
        <v>-1.7098299223756129E-2</v>
      </c>
      <c r="X309" s="31">
        <f t="shared" ref="X309:X324" si="119">2*(O309-G309)*(1-O309)*O309*F309</f>
        <v>-5.169253253693714E-3</v>
      </c>
    </row>
    <row r="310" spans="1:24" ht="14.25" customHeight="1" x14ac:dyDescent="0.3">
      <c r="A310" s="3"/>
      <c r="B310" s="38">
        <v>66</v>
      </c>
      <c r="C310" s="10">
        <v>6.6</v>
      </c>
      <c r="D310" s="11">
        <v>3</v>
      </c>
      <c r="E310" s="11">
        <v>4.4000000000000004</v>
      </c>
      <c r="F310" s="11">
        <v>1.4</v>
      </c>
      <c r="G310" s="39">
        <v>1</v>
      </c>
      <c r="I310" s="38">
        <f>I309-K2*T309</f>
        <v>0.32995371498584852</v>
      </c>
      <c r="J310" s="40">
        <f>J309-K2*U309</f>
        <v>-0.40416423833277559</v>
      </c>
      <c r="K310" s="40">
        <f>K309-K2*V309</f>
        <v>-0.16071623379824376</v>
      </c>
      <c r="L310" s="40">
        <f>L309-K2*W309</f>
        <v>1.1065308517709722</v>
      </c>
      <c r="M310" s="40">
        <f>M309-K2*X309</f>
        <v>0.79456801177366554</v>
      </c>
      <c r="N310" s="35">
        <f t="shared" si="110"/>
        <v>3.1614520048702079</v>
      </c>
      <c r="O310" s="35">
        <f t="shared" si="111"/>
        <v>0.95935759874105564</v>
      </c>
      <c r="P310" s="36">
        <f t="shared" si="112"/>
        <v>1</v>
      </c>
      <c r="Q310" s="36">
        <f t="shared" si="113"/>
        <v>-4.0642401258944361E-2</v>
      </c>
      <c r="R310" s="37">
        <f t="shared" si="114"/>
        <v>1.6518047800930422E-3</v>
      </c>
      <c r="T310" s="31">
        <f t="shared" si="115"/>
        <v>-3.169342934838117E-3</v>
      </c>
      <c r="U310" s="31">
        <f t="shared" si="116"/>
        <v>-2.0917663369931571E-2</v>
      </c>
      <c r="V310" s="31">
        <f t="shared" si="117"/>
        <v>-9.5080288045143509E-3</v>
      </c>
      <c r="W310" s="31">
        <f t="shared" si="118"/>
        <v>-1.3945108913287716E-2</v>
      </c>
      <c r="X310" s="31">
        <f t="shared" si="119"/>
        <v>-4.4370801087733631E-3</v>
      </c>
    </row>
    <row r="311" spans="1:24" ht="14.25" customHeight="1" x14ac:dyDescent="0.3">
      <c r="A311" s="3"/>
      <c r="B311" s="38">
        <v>67</v>
      </c>
      <c r="C311" s="10">
        <v>6.8</v>
      </c>
      <c r="D311" s="11">
        <v>2.8</v>
      </c>
      <c r="E311" s="11">
        <v>4.8</v>
      </c>
      <c r="F311" s="11">
        <v>1.4</v>
      </c>
      <c r="G311" s="39">
        <v>1</v>
      </c>
      <c r="I311" s="38">
        <f>I310-K2*T310</f>
        <v>0.33027064927933236</v>
      </c>
      <c r="J311" s="40">
        <f>J310-K2*U310</f>
        <v>-0.40207247199578244</v>
      </c>
      <c r="K311" s="40">
        <f>K310-K2*V310</f>
        <v>-0.15976543091779233</v>
      </c>
      <c r="L311" s="40">
        <f>L310-K2*W310</f>
        <v>1.1079253626623009</v>
      </c>
      <c r="M311" s="40">
        <f>M310-K2*X310</f>
        <v>0.79501171978454288</v>
      </c>
      <c r="N311" s="35">
        <f t="shared" si="110"/>
        <v>3.5798927816155972</v>
      </c>
      <c r="O311" s="35">
        <f t="shared" si="111"/>
        <v>0.97287745377941715</v>
      </c>
      <c r="P311" s="36">
        <f t="shared" si="112"/>
        <v>1</v>
      </c>
      <c r="Q311" s="36">
        <f t="shared" si="113"/>
        <v>-2.7122546220582855E-2</v>
      </c>
      <c r="R311" s="37">
        <f t="shared" si="114"/>
        <v>7.3563251348765328E-4</v>
      </c>
      <c r="T311" s="31">
        <f t="shared" si="115"/>
        <v>-1.4313605732784417E-3</v>
      </c>
      <c r="U311" s="31">
        <f t="shared" si="116"/>
        <v>-9.7332518982934033E-3</v>
      </c>
      <c r="V311" s="31">
        <f t="shared" si="117"/>
        <v>-4.0078096051796366E-3</v>
      </c>
      <c r="W311" s="31">
        <f t="shared" si="118"/>
        <v>-6.8705307517365199E-3</v>
      </c>
      <c r="X311" s="31">
        <f t="shared" si="119"/>
        <v>-2.0039048025898183E-3</v>
      </c>
    </row>
    <row r="312" spans="1:24" ht="14.25" customHeight="1" x14ac:dyDescent="0.3">
      <c r="A312" s="3"/>
      <c r="B312" s="38">
        <v>68</v>
      </c>
      <c r="C312" s="10">
        <v>6.7</v>
      </c>
      <c r="D312" s="11">
        <v>3</v>
      </c>
      <c r="E312" s="11">
        <v>5</v>
      </c>
      <c r="F312" s="11">
        <v>1.7</v>
      </c>
      <c r="G312" s="39">
        <v>1</v>
      </c>
      <c r="I312" s="38">
        <f>I311-K2*T311</f>
        <v>0.33041378533666022</v>
      </c>
      <c r="J312" s="40">
        <f>J311-K2*U311</f>
        <v>-0.4010991468059531</v>
      </c>
      <c r="K312" s="40">
        <f>K311-K2*V311</f>
        <v>-0.15936464995727437</v>
      </c>
      <c r="L312" s="40">
        <f>L311-K2*W311</f>
        <v>1.1086124157374746</v>
      </c>
      <c r="M312" s="40">
        <f>M311-K2*X311</f>
        <v>0.79521211026480187</v>
      </c>
      <c r="N312" s="35">
        <f t="shared" si="110"/>
        <v>4.0598782180024875</v>
      </c>
      <c r="O312" s="35">
        <f t="shared" si="111"/>
        <v>0.98304143438487235</v>
      </c>
      <c r="P312" s="36">
        <f t="shared" si="112"/>
        <v>1</v>
      </c>
      <c r="Q312" s="36">
        <f t="shared" si="113"/>
        <v>-1.6958565615127652E-2</v>
      </c>
      <c r="R312" s="37">
        <f t="shared" si="114"/>
        <v>2.8759294772258989E-4</v>
      </c>
      <c r="T312" s="31">
        <f t="shared" si="115"/>
        <v>-5.654315676963767E-4</v>
      </c>
      <c r="U312" s="31">
        <f t="shared" si="116"/>
        <v>-3.7883915035657242E-3</v>
      </c>
      <c r="V312" s="31">
        <f t="shared" si="117"/>
        <v>-1.69629470308913E-3</v>
      </c>
      <c r="W312" s="31">
        <f t="shared" si="118"/>
        <v>-2.8271578384818836E-3</v>
      </c>
      <c r="X312" s="31">
        <f t="shared" si="119"/>
        <v>-9.6123366508384035E-4</v>
      </c>
    </row>
    <row r="313" spans="1:24" ht="14.25" customHeight="1" x14ac:dyDescent="0.3">
      <c r="A313" s="3"/>
      <c r="B313" s="38">
        <v>69</v>
      </c>
      <c r="C313" s="10">
        <v>6</v>
      </c>
      <c r="D313" s="11">
        <v>2.9</v>
      </c>
      <c r="E313" s="11">
        <v>4.5</v>
      </c>
      <c r="F313" s="11">
        <v>1.5</v>
      </c>
      <c r="G313" s="39">
        <v>1</v>
      </c>
      <c r="I313" s="38">
        <f>I312-K2*T312</f>
        <v>0.33047032849342983</v>
      </c>
      <c r="J313" s="40">
        <f>J312-K2*U312</f>
        <v>-0.40072030765559652</v>
      </c>
      <c r="K313" s="40">
        <f>K312-K2*V312</f>
        <v>-0.15919502048696546</v>
      </c>
      <c r="L313" s="40">
        <f>L312-K2*W312</f>
        <v>1.1088951315213227</v>
      </c>
      <c r="M313" s="40">
        <f>M312-K2*X312</f>
        <v>0.79530823363131031</v>
      </c>
      <c r="N313" s="35">
        <f t="shared" si="110"/>
        <v>3.6474733654405682</v>
      </c>
      <c r="O313" s="35">
        <f t="shared" si="111"/>
        <v>0.97460483687131483</v>
      </c>
      <c r="P313" s="36">
        <f t="shared" si="112"/>
        <v>1</v>
      </c>
      <c r="Q313" s="36">
        <f t="shared" si="113"/>
        <v>-2.5395163128685172E-2</v>
      </c>
      <c r="R313" s="37">
        <f t="shared" si="114"/>
        <v>6.4491431033253084E-4</v>
      </c>
      <c r="T313" s="31">
        <f t="shared" si="115"/>
        <v>-1.2570732124352255E-3</v>
      </c>
      <c r="U313" s="31">
        <f t="shared" si="116"/>
        <v>-7.5424392746113525E-3</v>
      </c>
      <c r="V313" s="31">
        <f t="shared" si="117"/>
        <v>-3.6455123160621539E-3</v>
      </c>
      <c r="W313" s="31">
        <f t="shared" si="118"/>
        <v>-5.6568294559585144E-3</v>
      </c>
      <c r="X313" s="31">
        <f t="shared" si="119"/>
        <v>-1.8856098186528381E-3</v>
      </c>
    </row>
    <row r="314" spans="1:24" ht="14.25" customHeight="1" x14ac:dyDescent="0.3">
      <c r="A314" s="3"/>
      <c r="B314" s="38">
        <v>70</v>
      </c>
      <c r="C314" s="10">
        <v>5.7</v>
      </c>
      <c r="D314" s="11">
        <v>2.6</v>
      </c>
      <c r="E314" s="11">
        <v>3.5</v>
      </c>
      <c r="F314" s="11">
        <v>1</v>
      </c>
      <c r="G314" s="39">
        <v>1</v>
      </c>
      <c r="I314" s="38">
        <f>I313-K2*T313</f>
        <v>0.33059603581467334</v>
      </c>
      <c r="J314" s="40">
        <f>J313-K2*U313</f>
        <v>-0.39996606372813537</v>
      </c>
      <c r="K314" s="40">
        <f>K313-K2*V313</f>
        <v>-0.15883046925535924</v>
      </c>
      <c r="L314" s="40">
        <f>L313-K2*W313</f>
        <v>1.1094608144669185</v>
      </c>
      <c r="M314" s="40">
        <f>M313-K2*X313</f>
        <v>0.79549679461317557</v>
      </c>
      <c r="N314" s="35">
        <f t="shared" si="110"/>
        <v>2.3164398977477583</v>
      </c>
      <c r="O314" s="35">
        <f t="shared" si="111"/>
        <v>0.91022946288436646</v>
      </c>
      <c r="P314" s="36">
        <f t="shared" si="112"/>
        <v>1</v>
      </c>
      <c r="Q314" s="36">
        <f t="shared" si="113"/>
        <v>-8.9770537115633542E-2</v>
      </c>
      <c r="R314" s="37">
        <f t="shared" si="114"/>
        <v>8.0587493340293394E-3</v>
      </c>
      <c r="T314" s="31">
        <f t="shared" si="115"/>
        <v>-1.4670622155666543E-2</v>
      </c>
      <c r="U314" s="31">
        <f t="shared" si="116"/>
        <v>-8.3622546287299301E-2</v>
      </c>
      <c r="V314" s="31">
        <f t="shared" si="117"/>
        <v>-3.8143617604733011E-2</v>
      </c>
      <c r="W314" s="31">
        <f t="shared" si="118"/>
        <v>-5.1347177544832902E-2</v>
      </c>
      <c r="X314" s="31">
        <f t="shared" si="119"/>
        <v>-1.4670622155666543E-2</v>
      </c>
    </row>
    <row r="315" spans="1:24" ht="14.25" customHeight="1" x14ac:dyDescent="0.3">
      <c r="A315" s="3"/>
      <c r="B315" s="38">
        <v>71</v>
      </c>
      <c r="C315" s="10">
        <v>5.5</v>
      </c>
      <c r="D315" s="11">
        <v>2.4</v>
      </c>
      <c r="E315" s="11">
        <v>3.8</v>
      </c>
      <c r="F315" s="11">
        <v>1.1000000000000001</v>
      </c>
      <c r="G315" s="39">
        <v>1</v>
      </c>
      <c r="I315" s="38">
        <f>I314-K2*T314</f>
        <v>0.33206309803023998</v>
      </c>
      <c r="J315" s="40">
        <f>J314-K2*U314</f>
        <v>-0.39160380909940545</v>
      </c>
      <c r="K315" s="40">
        <f>K314-K2*V314</f>
        <v>-0.15501610749488592</v>
      </c>
      <c r="L315" s="40">
        <f>L314-K2*W314</f>
        <v>1.1145955322214018</v>
      </c>
      <c r="M315" s="40">
        <f>M314-K2*X314</f>
        <v>0.79696385682874227</v>
      </c>
      <c r="N315" s="35">
        <f t="shared" si="110"/>
        <v>2.918326754948728</v>
      </c>
      <c r="O315" s="35">
        <f t="shared" si="111"/>
        <v>0.94874499370659138</v>
      </c>
      <c r="P315" s="36">
        <f t="shared" si="112"/>
        <v>1</v>
      </c>
      <c r="Q315" s="36">
        <f t="shared" si="113"/>
        <v>-5.1255006293408623E-2</v>
      </c>
      <c r="R315" s="37">
        <f t="shared" si="114"/>
        <v>2.6270756701373575E-3</v>
      </c>
      <c r="T315" s="31">
        <f t="shared" si="115"/>
        <v>-4.9848497802624132E-3</v>
      </c>
      <c r="U315" s="31">
        <f t="shared" si="116"/>
        <v>-2.7416673791443275E-2</v>
      </c>
      <c r="V315" s="31">
        <f t="shared" si="117"/>
        <v>-1.1963639472629791E-2</v>
      </c>
      <c r="W315" s="31">
        <f t="shared" si="118"/>
        <v>-1.8942429164997169E-2</v>
      </c>
      <c r="X315" s="31">
        <f t="shared" si="119"/>
        <v>-5.4833347582886553E-3</v>
      </c>
    </row>
    <row r="316" spans="1:24" ht="14.25" customHeight="1" x14ac:dyDescent="0.3">
      <c r="A316" s="3"/>
      <c r="B316" s="38">
        <v>72</v>
      </c>
      <c r="C316" s="10">
        <v>5.5</v>
      </c>
      <c r="D316" s="11">
        <v>2.4</v>
      </c>
      <c r="E316" s="11">
        <v>3.7</v>
      </c>
      <c r="F316" s="11">
        <v>1</v>
      </c>
      <c r="G316" s="39">
        <v>1</v>
      </c>
      <c r="I316" s="38">
        <f>I315-K2*T315</f>
        <v>0.33256158300826621</v>
      </c>
      <c r="J316" s="40">
        <f>J315-K2*U315</f>
        <v>-0.38886214172026112</v>
      </c>
      <c r="K316" s="40">
        <f>K315-K2*V315</f>
        <v>-0.15381974354762296</v>
      </c>
      <c r="L316" s="40">
        <f>L315-K2*W315</f>
        <v>1.1164897751379015</v>
      </c>
      <c r="M316" s="40">
        <f>M315-K2*X315</f>
        <v>0.7975121903045711</v>
      </c>
      <c r="N316" s="35">
        <f t="shared" si="110"/>
        <v>2.7531767773473419</v>
      </c>
      <c r="O316" s="35">
        <f t="shared" si="111"/>
        <v>0.94009251174996844</v>
      </c>
      <c r="P316" s="36">
        <f t="shared" si="112"/>
        <v>1</v>
      </c>
      <c r="Q316" s="36">
        <f t="shared" si="113"/>
        <v>-5.990748825003156E-2</v>
      </c>
      <c r="R316" s="37">
        <f t="shared" si="114"/>
        <v>3.5889071484276696E-3</v>
      </c>
      <c r="T316" s="31">
        <f t="shared" si="115"/>
        <v>-6.7478094712055698E-3</v>
      </c>
      <c r="U316" s="31">
        <f t="shared" si="116"/>
        <v>-3.7112952091630631E-2</v>
      </c>
      <c r="V316" s="31">
        <f t="shared" si="117"/>
        <v>-1.6194742730893368E-2</v>
      </c>
      <c r="W316" s="31">
        <f t="shared" si="118"/>
        <v>-2.4966895043460609E-2</v>
      </c>
      <c r="X316" s="31">
        <f t="shared" si="119"/>
        <v>-6.7478094712055698E-3</v>
      </c>
    </row>
    <row r="317" spans="1:24" ht="14.25" customHeight="1" x14ac:dyDescent="0.3">
      <c r="A317" s="3"/>
      <c r="B317" s="38">
        <v>73</v>
      </c>
      <c r="C317" s="10">
        <v>5.8</v>
      </c>
      <c r="D317" s="11">
        <v>2.7</v>
      </c>
      <c r="E317" s="11">
        <v>3.9</v>
      </c>
      <c r="F317" s="11">
        <v>1.2</v>
      </c>
      <c r="G317" s="39">
        <v>1</v>
      </c>
      <c r="I317" s="38">
        <f>I316-K2*T316</f>
        <v>0.33323636395538675</v>
      </c>
      <c r="J317" s="40">
        <f>J316-K2*U316</f>
        <v>-0.38515084651109804</v>
      </c>
      <c r="K317" s="40">
        <f>K316-K2*V316</f>
        <v>-0.15220026927453362</v>
      </c>
      <c r="L317" s="40">
        <f>L316-K2*W316</f>
        <v>1.1189864646422476</v>
      </c>
      <c r="M317" s="40">
        <f>M316-K2*X316</f>
        <v>0.79818697125169169</v>
      </c>
      <c r="N317" s="35">
        <f t="shared" si="110"/>
        <v>3.0102923047565735</v>
      </c>
      <c r="O317" s="35">
        <f t="shared" si="111"/>
        <v>0.95303693889384111</v>
      </c>
      <c r="P317" s="36">
        <f t="shared" si="112"/>
        <v>1</v>
      </c>
      <c r="Q317" s="36">
        <f t="shared" si="113"/>
        <v>-4.6963061106158888E-2</v>
      </c>
      <c r="R317" s="37">
        <f t="shared" si="114"/>
        <v>2.2055291084608136E-3</v>
      </c>
      <c r="T317" s="31">
        <f t="shared" si="115"/>
        <v>-4.2039014203375125E-3</v>
      </c>
      <c r="U317" s="31">
        <f t="shared" si="116"/>
        <v>-2.438262823795757E-2</v>
      </c>
      <c r="V317" s="31">
        <f t="shared" si="117"/>
        <v>-1.1350533834911285E-2</v>
      </c>
      <c r="W317" s="31">
        <f t="shared" si="118"/>
        <v>-1.6395215539316298E-2</v>
      </c>
      <c r="X317" s="31">
        <f t="shared" si="119"/>
        <v>-5.0446817044050149E-3</v>
      </c>
    </row>
    <row r="318" spans="1:24" ht="14.25" customHeight="1" x14ac:dyDescent="0.3">
      <c r="A318" s="3"/>
      <c r="B318" s="38">
        <v>74</v>
      </c>
      <c r="C318" s="10">
        <v>6</v>
      </c>
      <c r="D318" s="11">
        <v>2.7</v>
      </c>
      <c r="E318" s="11">
        <v>5.0999999999999996</v>
      </c>
      <c r="F318" s="11">
        <v>1.6</v>
      </c>
      <c r="G318" s="39">
        <v>1</v>
      </c>
      <c r="I318" s="38">
        <f>I317-K2*T317</f>
        <v>0.33365675409742052</v>
      </c>
      <c r="J318" s="40">
        <f>J317-K2*U317</f>
        <v>-0.38271258368730227</v>
      </c>
      <c r="K318" s="40">
        <f>K317-K2*V317</f>
        <v>-0.15106521589104249</v>
      </c>
      <c r="L318" s="40">
        <f>L317-K2*W317</f>
        <v>1.1206259861961791</v>
      </c>
      <c r="M318" s="40">
        <f>M317-K2*X317</f>
        <v>0.79869143942213217</v>
      </c>
      <c r="N318" s="35">
        <f t="shared" si="110"/>
        <v>4.6226040017437171</v>
      </c>
      <c r="O318" s="35">
        <f t="shared" si="111"/>
        <v>0.99026846077782382</v>
      </c>
      <c r="P318" s="36">
        <f t="shared" si="112"/>
        <v>1</v>
      </c>
      <c r="Q318" s="36">
        <f t="shared" si="113"/>
        <v>-9.7315392221761776E-3</v>
      </c>
      <c r="R318" s="37">
        <f t="shared" si="114"/>
        <v>9.4702855632753318E-5</v>
      </c>
      <c r="T318" s="31">
        <f t="shared" si="115"/>
        <v>-1.8756250215742218E-4</v>
      </c>
      <c r="U318" s="31">
        <f t="shared" si="116"/>
        <v>-1.1253750129445331E-3</v>
      </c>
      <c r="V318" s="31">
        <f t="shared" si="117"/>
        <v>-5.0641875582503994E-4</v>
      </c>
      <c r="W318" s="31">
        <f t="shared" si="118"/>
        <v>-9.5656876100285305E-4</v>
      </c>
      <c r="X318" s="31">
        <f t="shared" si="119"/>
        <v>-3.0010000345187548E-4</v>
      </c>
    </row>
    <row r="319" spans="1:24" ht="14.25" customHeight="1" x14ac:dyDescent="0.3">
      <c r="A319" s="3"/>
      <c r="B319" s="38">
        <v>75</v>
      </c>
      <c r="C319" s="10">
        <v>5.4</v>
      </c>
      <c r="D319" s="11">
        <v>3</v>
      </c>
      <c r="E319" s="11">
        <v>4.5</v>
      </c>
      <c r="F319" s="11">
        <v>1.5</v>
      </c>
      <c r="G319" s="39">
        <v>1</v>
      </c>
      <c r="I319" s="38">
        <f>I318-K2*T318</f>
        <v>0.33367551034763626</v>
      </c>
      <c r="J319" s="40">
        <f>J318-K2*U318</f>
        <v>-0.38260004618600779</v>
      </c>
      <c r="K319" s="40">
        <f>K318-K2*V318</f>
        <v>-0.15101457401545998</v>
      </c>
      <c r="L319" s="40">
        <f>L318-K2*W318</f>
        <v>1.1207216430722795</v>
      </c>
      <c r="M319" s="40">
        <f>M318-K2*X318</f>
        <v>0.79872144942247736</v>
      </c>
      <c r="N319" s="35">
        <f t="shared" si="110"/>
        <v>4.0559211068557879</v>
      </c>
      <c r="O319" s="35">
        <f t="shared" si="111"/>
        <v>0.98297533924187952</v>
      </c>
      <c r="P319" s="36">
        <f t="shared" si="112"/>
        <v>1</v>
      </c>
      <c r="Q319" s="36">
        <f t="shared" si="113"/>
        <v>-1.702466075812048E-2</v>
      </c>
      <c r="R319" s="37">
        <f t="shared" si="114"/>
        <v>2.8983907392908742E-4</v>
      </c>
      <c r="T319" s="31">
        <f t="shared" si="115"/>
        <v>-5.6980932404199376E-4</v>
      </c>
      <c r="U319" s="31">
        <f t="shared" si="116"/>
        <v>-3.0769703498267666E-3</v>
      </c>
      <c r="V319" s="31">
        <f t="shared" si="117"/>
        <v>-1.7094279721259812E-3</v>
      </c>
      <c r="W319" s="31">
        <f t="shared" si="118"/>
        <v>-2.564141958188972E-3</v>
      </c>
      <c r="X319" s="31">
        <f t="shared" si="119"/>
        <v>-8.5471398606299059E-4</v>
      </c>
    </row>
    <row r="320" spans="1:24" ht="14.25" customHeight="1" x14ac:dyDescent="0.3">
      <c r="A320" s="3"/>
      <c r="B320" s="38">
        <v>76</v>
      </c>
      <c r="C320" s="10">
        <v>6</v>
      </c>
      <c r="D320" s="11">
        <v>3.4</v>
      </c>
      <c r="E320" s="11">
        <v>4.5</v>
      </c>
      <c r="F320" s="11">
        <v>1.6</v>
      </c>
      <c r="G320" s="39">
        <v>1</v>
      </c>
      <c r="I320" s="38">
        <f>I319-K2*T319</f>
        <v>0.33373249128004046</v>
      </c>
      <c r="J320" s="40">
        <f>J319-K2*U319</f>
        <v>-0.38229234915102511</v>
      </c>
      <c r="K320" s="40">
        <f>K319-K2*V319</f>
        <v>-0.15084363121824737</v>
      </c>
      <c r="L320" s="40">
        <f>L319-K2*W319</f>
        <v>1.1209780572680983</v>
      </c>
      <c r="M320" s="40">
        <f>M319-K2*X319</f>
        <v>0.79880692082108362</v>
      </c>
      <c r="N320" s="35">
        <f t="shared" si="110"/>
        <v>3.8496023812520255</v>
      </c>
      <c r="O320" s="35">
        <f t="shared" si="111"/>
        <v>0.97915554164179452</v>
      </c>
      <c r="P320" s="36">
        <f t="shared" si="112"/>
        <v>1</v>
      </c>
      <c r="Q320" s="36">
        <f t="shared" si="113"/>
        <v>-2.0844458358205475E-2</v>
      </c>
      <c r="R320" s="37">
        <f t="shared" si="114"/>
        <v>4.3449144424696209E-4</v>
      </c>
      <c r="T320" s="31">
        <f t="shared" si="115"/>
        <v>-8.5086941086071944E-4</v>
      </c>
      <c r="U320" s="31">
        <f t="shared" si="116"/>
        <v>-5.1052164651643169E-3</v>
      </c>
      <c r="V320" s="31">
        <f t="shared" si="117"/>
        <v>-2.8929559969264459E-3</v>
      </c>
      <c r="W320" s="31">
        <f t="shared" si="118"/>
        <v>-3.8289123488732374E-3</v>
      </c>
      <c r="X320" s="31">
        <f t="shared" si="119"/>
        <v>-1.3613910573771512E-3</v>
      </c>
    </row>
    <row r="321" spans="1:24" ht="14.25" customHeight="1" x14ac:dyDescent="0.3">
      <c r="A321" s="3"/>
      <c r="B321" s="38">
        <v>77</v>
      </c>
      <c r="C321" s="10">
        <v>6.7</v>
      </c>
      <c r="D321" s="11">
        <v>3.1</v>
      </c>
      <c r="E321" s="11">
        <v>4.7</v>
      </c>
      <c r="F321" s="11">
        <v>1.5</v>
      </c>
      <c r="G321" s="39">
        <v>1</v>
      </c>
      <c r="I321" s="38">
        <f>I320-K2*T320</f>
        <v>0.33381757822112651</v>
      </c>
      <c r="J321" s="40">
        <f>J320-K2*U320</f>
        <v>-0.38178182750450868</v>
      </c>
      <c r="K321" s="40">
        <f>K320-K2*V320</f>
        <v>-0.15055433561855472</v>
      </c>
      <c r="L321" s="40">
        <f>L320-K2*W320</f>
        <v>1.1213609485029856</v>
      </c>
      <c r="M321" s="40">
        <f>M320-K2*X320</f>
        <v>0.79894305992682135</v>
      </c>
      <c r="N321" s="35">
        <f t="shared" si="110"/>
        <v>3.7779719413776638</v>
      </c>
      <c r="O321" s="35">
        <f t="shared" si="111"/>
        <v>0.97764227520026026</v>
      </c>
      <c r="P321" s="36">
        <f t="shared" si="112"/>
        <v>1</v>
      </c>
      <c r="Q321" s="36">
        <f t="shared" si="113"/>
        <v>-2.2357724799739742E-2</v>
      </c>
      <c r="R321" s="37">
        <f t="shared" si="114"/>
        <v>4.9986785822089754E-4</v>
      </c>
      <c r="T321" s="31">
        <f t="shared" si="115"/>
        <v>-9.7738390042111881E-4</v>
      </c>
      <c r="U321" s="31">
        <f t="shared" si="116"/>
        <v>-6.5484721328214965E-3</v>
      </c>
      <c r="V321" s="31">
        <f t="shared" si="117"/>
        <v>-3.0298900913054683E-3</v>
      </c>
      <c r="W321" s="31">
        <f t="shared" si="118"/>
        <v>-4.5937043319792589E-3</v>
      </c>
      <c r="X321" s="31">
        <f t="shared" si="119"/>
        <v>-1.4660758506316782E-3</v>
      </c>
    </row>
    <row r="322" spans="1:24" ht="14.25" customHeight="1" x14ac:dyDescent="0.3">
      <c r="A322" s="3"/>
      <c r="B322" s="38">
        <v>78</v>
      </c>
      <c r="C322" s="10">
        <v>6.3</v>
      </c>
      <c r="D322" s="11">
        <v>2.2999999999999998</v>
      </c>
      <c r="E322" s="11">
        <v>4.4000000000000004</v>
      </c>
      <c r="F322" s="11">
        <v>1.3</v>
      </c>
      <c r="G322" s="39">
        <v>1</v>
      </c>
      <c r="I322" s="38">
        <f>I321-K2*T321</f>
        <v>0.33391531661116863</v>
      </c>
      <c r="J322" s="40">
        <f>J321-K2*U321</f>
        <v>-0.38112698029122655</v>
      </c>
      <c r="K322" s="40">
        <f>K321-K2*V321</f>
        <v>-0.15025134660942419</v>
      </c>
      <c r="L322" s="40">
        <f>L321-K2*W321</f>
        <v>1.1218203189361835</v>
      </c>
      <c r="M322" s="40">
        <f>M321-K2*X321</f>
        <v>0.79908966751188448</v>
      </c>
      <c r="N322" s="35">
        <f t="shared" si="110"/>
        <v>3.5620632146594233</v>
      </c>
      <c r="O322" s="35">
        <f t="shared" si="111"/>
        <v>0.97240299887922477</v>
      </c>
      <c r="P322" s="36">
        <f t="shared" si="112"/>
        <v>1</v>
      </c>
      <c r="Q322" s="36">
        <f t="shared" si="113"/>
        <v>-2.7597001120775233E-2</v>
      </c>
      <c r="R322" s="37">
        <f t="shared" si="114"/>
        <v>7.6159447086006945E-4</v>
      </c>
      <c r="T322" s="31">
        <f t="shared" si="115"/>
        <v>-1.4811534947883358E-3</v>
      </c>
      <c r="U322" s="31">
        <f t="shared" si="116"/>
        <v>-9.3312670171665155E-3</v>
      </c>
      <c r="V322" s="31">
        <f t="shared" si="117"/>
        <v>-3.406653038013172E-3</v>
      </c>
      <c r="W322" s="31">
        <f t="shared" si="118"/>
        <v>-6.5170753770686781E-3</v>
      </c>
      <c r="X322" s="31">
        <f t="shared" si="119"/>
        <v>-1.9254995432248366E-3</v>
      </c>
    </row>
    <row r="323" spans="1:24" ht="14.25" customHeight="1" x14ac:dyDescent="0.3">
      <c r="A323" s="3"/>
      <c r="B323" s="38">
        <v>79</v>
      </c>
      <c r="C323" s="10">
        <v>5.6</v>
      </c>
      <c r="D323" s="11">
        <v>3</v>
      </c>
      <c r="E323" s="11">
        <v>4.0999999999999996</v>
      </c>
      <c r="F323" s="11">
        <v>1.3</v>
      </c>
      <c r="G323" s="39">
        <v>1</v>
      </c>
      <c r="I323" s="38">
        <f>I322-K2*T322</f>
        <v>0.33406343196064747</v>
      </c>
      <c r="J323" s="40">
        <f>J322-K2*U322</f>
        <v>-0.38019385358950991</v>
      </c>
      <c r="K323" s="40">
        <f>K322-K2*V322</f>
        <v>-0.14991068130562288</v>
      </c>
      <c r="L323" s="40">
        <f>L322-K2*W322</f>
        <v>1.1224720264738903</v>
      </c>
      <c r="M323" s="40">
        <f>M322-K2*X322</f>
        <v>0.79928221746620698</v>
      </c>
      <c r="N323" s="35">
        <f t="shared" si="110"/>
        <v>3.3964479991915426</v>
      </c>
      <c r="O323" s="35">
        <f t="shared" si="111"/>
        <v>0.96759334190393509</v>
      </c>
      <c r="P323" s="36">
        <f t="shared" si="112"/>
        <v>1</v>
      </c>
      <c r="Q323" s="36">
        <f t="shared" si="113"/>
        <v>-3.2406658096064911E-2</v>
      </c>
      <c r="R323" s="37">
        <f t="shared" si="114"/>
        <v>1.0501914889552494E-3</v>
      </c>
      <c r="T323" s="31">
        <f t="shared" si="115"/>
        <v>-2.0323165848745587E-3</v>
      </c>
      <c r="U323" s="31">
        <f t="shared" si="116"/>
        <v>-1.1380972875297529E-2</v>
      </c>
      <c r="V323" s="31">
        <f t="shared" si="117"/>
        <v>-6.096949754623676E-3</v>
      </c>
      <c r="W323" s="31">
        <f t="shared" si="118"/>
        <v>-8.3324979979856901E-3</v>
      </c>
      <c r="X323" s="31">
        <f t="shared" si="119"/>
        <v>-2.6420115603369263E-3</v>
      </c>
    </row>
    <row r="324" spans="1:24" ht="14.25" customHeight="1" x14ac:dyDescent="0.3">
      <c r="A324" s="3"/>
      <c r="B324" s="38">
        <v>80</v>
      </c>
      <c r="C324" s="10">
        <v>5.5</v>
      </c>
      <c r="D324" s="11">
        <v>2.5</v>
      </c>
      <c r="E324" s="11">
        <v>4</v>
      </c>
      <c r="F324" s="11">
        <v>1.3</v>
      </c>
      <c r="G324" s="39">
        <v>1</v>
      </c>
      <c r="H324" s="37">
        <f>SUMPRODUCT(--(P245:P324=G245:G324))/80</f>
        <v>0.97499999999999998</v>
      </c>
      <c r="I324" s="38">
        <f>I323-K2*T323</f>
        <v>0.33426666361913493</v>
      </c>
      <c r="J324" s="40">
        <f>J323-K2*U323</f>
        <v>-0.37905575630198018</v>
      </c>
      <c r="K324" s="40">
        <f>K323-K2*V323</f>
        <v>-0.14930098633016051</v>
      </c>
      <c r="L324" s="40">
        <f>L323-K2*W323</f>
        <v>1.1233052762736888</v>
      </c>
      <c r="M324" s="40">
        <f>M323-K2*X323</f>
        <v>0.79954641862224063</v>
      </c>
      <c r="N324" s="35">
        <f t="shared" si="110"/>
        <v>3.4088389874365106</v>
      </c>
      <c r="O324" s="35">
        <f t="shared" si="111"/>
        <v>0.9679796364020159</v>
      </c>
      <c r="P324" s="36">
        <f t="shared" si="112"/>
        <v>1</v>
      </c>
      <c r="Q324" s="36">
        <f t="shared" si="113"/>
        <v>-3.2020363597984103E-2</v>
      </c>
      <c r="R324" s="37">
        <f t="shared" si="114"/>
        <v>1.0253036849471055E-3</v>
      </c>
      <c r="S324">
        <f>AVERAGE(R245:R324)</f>
        <v>1.6535226737225964E-2</v>
      </c>
      <c r="T324" s="31">
        <f t="shared" si="115"/>
        <v>-1.9849461763134925E-3</v>
      </c>
      <c r="U324" s="31">
        <f t="shared" si="116"/>
        <v>-1.0917203969724209E-2</v>
      </c>
      <c r="V324" s="31">
        <f t="shared" si="117"/>
        <v>-4.9623654407837314E-3</v>
      </c>
      <c r="W324" s="31">
        <f t="shared" si="118"/>
        <v>-7.9397847052539699E-3</v>
      </c>
      <c r="X324" s="31">
        <f t="shared" si="119"/>
        <v>-2.5804300292075403E-3</v>
      </c>
    </row>
    <row r="325" spans="1:24" ht="14.25" customHeight="1" x14ac:dyDescent="0.3">
      <c r="A325" s="2"/>
      <c r="B325" s="38">
        <v>1</v>
      </c>
      <c r="C325" s="10">
        <v>5.0999999999999996</v>
      </c>
      <c r="D325" s="11">
        <v>3.5</v>
      </c>
      <c r="E325" s="11">
        <v>1.4</v>
      </c>
      <c r="F325" s="11">
        <v>0.2</v>
      </c>
      <c r="G325" s="39">
        <v>0</v>
      </c>
      <c r="I325" s="38">
        <f>I324-K2*T324</f>
        <v>0.33446515823676626</v>
      </c>
      <c r="J325" s="40">
        <f>J324-K2*U324</f>
        <v>-0.37796403590500777</v>
      </c>
      <c r="K325" s="40">
        <f>K324-K2*V324</f>
        <v>-0.14880474978608213</v>
      </c>
      <c r="L325" s="40">
        <f>L324-K2*W324</f>
        <v>1.1240992547442141</v>
      </c>
      <c r="M325" s="40">
        <f>M324-K2*X324</f>
        <v>0.79980446162516139</v>
      </c>
      <c r="N325" s="35">
        <f t="shared" ref="N325:N356" si="120">I325+J325*C325+K325*D325+L325*E325+F325*M325</f>
        <v>-0.38026820016312868</v>
      </c>
      <c r="O325" s="35">
        <f t="shared" ref="O325:O356" si="121">1/(1+EXP(-N325))</f>
        <v>0.40606221207662591</v>
      </c>
      <c r="P325" s="36">
        <f t="shared" ref="P325:P356" si="122">IF(O325&gt;0.5,1,0)</f>
        <v>0</v>
      </c>
      <c r="Q325" s="36">
        <f t="shared" ref="Q325:Q356" si="123">O325-G325</f>
        <v>0.40606221207662591</v>
      </c>
      <c r="R325" s="37">
        <f t="shared" ref="R325:R356" si="124">Q325^2</f>
        <v>0.16488652007656271</v>
      </c>
      <c r="T325" s="31">
        <f t="shared" ref="T325:T356" si="125">2*(O325-G325)*(1-O325)*O325</f>
        <v>0.19586466998531332</v>
      </c>
      <c r="U325" s="31">
        <f t="shared" ref="U325:U356" si="126">2*(O325-G325)*(1-O325)*O325*C325</f>
        <v>0.99890981692509784</v>
      </c>
      <c r="V325" s="31">
        <f t="shared" ref="V325:V356" si="127">2*(O325-G325)*(1-O325)*O325*D325</f>
        <v>0.68552634494859666</v>
      </c>
      <c r="W325" s="31">
        <f t="shared" ref="W325:W356" si="128">2*(O325-G325)*(1-O325)*O325*E325</f>
        <v>0.27421053797943862</v>
      </c>
      <c r="X325" s="31">
        <f t="shared" ref="X325:X356" si="129">2*(O325-G325)*(1-O325)*O325*F325</f>
        <v>3.9172933997062669E-2</v>
      </c>
    </row>
    <row r="326" spans="1:24" ht="14.25" customHeight="1" x14ac:dyDescent="0.3">
      <c r="A326" s="2"/>
      <c r="B326" s="38">
        <v>2</v>
      </c>
      <c r="C326" s="10">
        <v>4.9000000000000004</v>
      </c>
      <c r="D326" s="11">
        <v>3</v>
      </c>
      <c r="E326" s="11">
        <v>1.4</v>
      </c>
      <c r="F326" s="11">
        <v>0.2</v>
      </c>
      <c r="G326" s="39">
        <v>0</v>
      </c>
      <c r="I326" s="38">
        <f>I325-K2*T325</f>
        <v>0.31487869123823492</v>
      </c>
      <c r="J326" s="40">
        <f>J325-K2*U325</f>
        <v>-0.47785501759751758</v>
      </c>
      <c r="K326" s="40">
        <f>K325-K2*V325</f>
        <v>-0.21735738428094181</v>
      </c>
      <c r="L326" s="40">
        <f>L325-K2*W325</f>
        <v>1.0966782009462703</v>
      </c>
      <c r="M326" s="40">
        <f>M325-K2*X325</f>
        <v>0.79588716822545513</v>
      </c>
      <c r="N326" s="35">
        <f t="shared" si="120"/>
        <v>-0.98415613286255743</v>
      </c>
      <c r="O326" s="35">
        <f t="shared" si="121"/>
        <v>0.27206789490178557</v>
      </c>
      <c r="P326" s="36">
        <f t="shared" si="122"/>
        <v>0</v>
      </c>
      <c r="Q326" s="36">
        <f t="shared" si="123"/>
        <v>0.27206789490178557</v>
      </c>
      <c r="R326" s="37">
        <f t="shared" si="124"/>
        <v>7.402093943628904E-2</v>
      </c>
      <c r="T326" s="31">
        <f t="shared" si="125"/>
        <v>0.10776443653041064</v>
      </c>
      <c r="U326" s="31">
        <f t="shared" si="126"/>
        <v>0.52804573899901219</v>
      </c>
      <c r="V326" s="31">
        <f t="shared" si="127"/>
        <v>0.32329330959123193</v>
      </c>
      <c r="W326" s="31">
        <f t="shared" si="128"/>
        <v>0.15087021114257487</v>
      </c>
      <c r="X326" s="31">
        <f t="shared" si="129"/>
        <v>2.1552887306082128E-2</v>
      </c>
    </row>
    <row r="327" spans="1:24" ht="14.25" customHeight="1" x14ac:dyDescent="0.3">
      <c r="A327" s="2"/>
      <c r="B327" s="38">
        <v>3</v>
      </c>
      <c r="C327" s="10">
        <v>4.7</v>
      </c>
      <c r="D327" s="11">
        <v>3.2</v>
      </c>
      <c r="E327" s="11">
        <v>1.3</v>
      </c>
      <c r="F327" s="11">
        <v>0.2</v>
      </c>
      <c r="G327" s="39">
        <v>0</v>
      </c>
      <c r="I327" s="38">
        <f>I326-K2*T326</f>
        <v>0.30410224758519383</v>
      </c>
      <c r="J327" s="40">
        <f>J326-K2*U326</f>
        <v>-0.53065959149741881</v>
      </c>
      <c r="K327" s="40">
        <f>K326-K2*V326</f>
        <v>-0.249686715240065</v>
      </c>
      <c r="L327" s="40">
        <f>L326-K2*W326</f>
        <v>1.0815911798320128</v>
      </c>
      <c r="M327" s="40">
        <f>M326-K2*X326</f>
        <v>0.79373187949484691</v>
      </c>
      <c r="N327" s="35">
        <f t="shared" si="120"/>
        <v>-1.4241804115402963</v>
      </c>
      <c r="O327" s="35">
        <f t="shared" si="121"/>
        <v>0.19400706335707407</v>
      </c>
      <c r="P327" s="36">
        <f t="shared" si="122"/>
        <v>0</v>
      </c>
      <c r="Q327" s="36">
        <f t="shared" si="123"/>
        <v>0.19400706335707407</v>
      </c>
      <c r="R327" s="37">
        <f t="shared" si="124"/>
        <v>3.7638740632435753E-2</v>
      </c>
      <c r="T327" s="31">
        <f t="shared" si="125"/>
        <v>6.0673118187756628E-2</v>
      </c>
      <c r="U327" s="31">
        <f t="shared" si="126"/>
        <v>0.28516365548245615</v>
      </c>
      <c r="V327" s="31">
        <f t="shared" si="127"/>
        <v>0.19415397820082123</v>
      </c>
      <c r="W327" s="31">
        <f t="shared" si="128"/>
        <v>7.887505364408362E-2</v>
      </c>
      <c r="X327" s="31">
        <f t="shared" si="129"/>
        <v>1.2134623637551327E-2</v>
      </c>
    </row>
    <row r="328" spans="1:24" ht="14.25" customHeight="1" x14ac:dyDescent="0.3">
      <c r="A328" s="2"/>
      <c r="B328" s="38">
        <v>4</v>
      </c>
      <c r="C328" s="10">
        <v>4.5999999999999996</v>
      </c>
      <c r="D328" s="11">
        <v>3.1</v>
      </c>
      <c r="E328" s="11">
        <v>1.5</v>
      </c>
      <c r="F328" s="11">
        <v>0.2</v>
      </c>
      <c r="G328" s="39">
        <v>0</v>
      </c>
      <c r="I328" s="38">
        <f>I327-K2*T327</f>
        <v>0.29803493576641815</v>
      </c>
      <c r="J328" s="40">
        <f>J327-K2*U327</f>
        <v>-0.55917595704566447</v>
      </c>
      <c r="K328" s="40">
        <f>K327-K2*V327</f>
        <v>-0.26910211306014714</v>
      </c>
      <c r="L328" s="40">
        <f>L327-K2*W327</f>
        <v>1.0737036744676045</v>
      </c>
      <c r="M328" s="40">
        <f>M327-K2*X327</f>
        <v>0.79251841713109183</v>
      </c>
      <c r="N328" s="35">
        <f t="shared" si="120"/>
        <v>-1.3393318220024693</v>
      </c>
      <c r="O328" s="35">
        <f t="shared" si="121"/>
        <v>0.20761996166174229</v>
      </c>
      <c r="P328" s="36">
        <f t="shared" si="122"/>
        <v>0</v>
      </c>
      <c r="Q328" s="36">
        <f t="shared" si="123"/>
        <v>0.20761996166174229</v>
      </c>
      <c r="R328" s="37">
        <f t="shared" si="124"/>
        <v>4.3106048480423341E-2</v>
      </c>
      <c r="T328" s="31">
        <f t="shared" si="125"/>
        <v>6.8312744695057284E-2</v>
      </c>
      <c r="U328" s="31">
        <f t="shared" si="126"/>
        <v>0.31423862559726351</v>
      </c>
      <c r="V328" s="31">
        <f t="shared" si="127"/>
        <v>0.21176950855467758</v>
      </c>
      <c r="W328" s="31">
        <f t="shared" si="128"/>
        <v>0.10246911704258593</v>
      </c>
      <c r="X328" s="31">
        <f t="shared" si="129"/>
        <v>1.3662548939011457E-2</v>
      </c>
    </row>
    <row r="329" spans="1:24" ht="14.25" customHeight="1" x14ac:dyDescent="0.3">
      <c r="A329" s="2"/>
      <c r="B329" s="38">
        <v>5</v>
      </c>
      <c r="C329" s="10">
        <v>5</v>
      </c>
      <c r="D329" s="11">
        <v>3.6</v>
      </c>
      <c r="E329" s="11">
        <v>1.4</v>
      </c>
      <c r="F329" s="11">
        <v>0.2</v>
      </c>
      <c r="G329" s="39">
        <v>0</v>
      </c>
      <c r="I329" s="38">
        <f>I328-K2*T328</f>
        <v>0.29120366129691244</v>
      </c>
      <c r="J329" s="40">
        <f>J328-K2*U328</f>
        <v>-0.59059981960539087</v>
      </c>
      <c r="K329" s="40">
        <f>K328-K2*V328</f>
        <v>-0.29027906391561492</v>
      </c>
      <c r="L329" s="40">
        <f>L328-K2*W328</f>
        <v>1.063456762763346</v>
      </c>
      <c r="M329" s="40">
        <f>M328-K2*X328</f>
        <v>0.79115216223719065</v>
      </c>
      <c r="N329" s="35">
        <f t="shared" si="120"/>
        <v>-2.0597301665101337</v>
      </c>
      <c r="O329" s="35">
        <f t="shared" si="121"/>
        <v>0.11307288814875296</v>
      </c>
      <c r="P329" s="36">
        <f t="shared" si="122"/>
        <v>0</v>
      </c>
      <c r="Q329" s="36">
        <f t="shared" si="123"/>
        <v>0.11307288814875296</v>
      </c>
      <c r="R329" s="37">
        <f t="shared" si="124"/>
        <v>1.2785478034300399E-2</v>
      </c>
      <c r="T329" s="31">
        <f t="shared" si="125"/>
        <v>2.2679574213199223E-2</v>
      </c>
      <c r="U329" s="31">
        <f t="shared" si="126"/>
        <v>0.11339787106599611</v>
      </c>
      <c r="V329" s="31">
        <f t="shared" si="127"/>
        <v>8.1646467167517209E-2</v>
      </c>
      <c r="W329" s="31">
        <f t="shared" si="128"/>
        <v>3.1751403898478914E-2</v>
      </c>
      <c r="X329" s="31">
        <f t="shared" si="129"/>
        <v>4.5359148426398445E-3</v>
      </c>
    </row>
    <row r="330" spans="1:24" ht="14.25" customHeight="1" x14ac:dyDescent="0.3">
      <c r="A330" s="2"/>
      <c r="B330" s="38">
        <v>6</v>
      </c>
      <c r="C330" s="10">
        <v>5.4</v>
      </c>
      <c r="D330" s="11">
        <v>3.9</v>
      </c>
      <c r="E330" s="11">
        <v>1.7</v>
      </c>
      <c r="F330" s="11">
        <v>0.4</v>
      </c>
      <c r="G330" s="39">
        <v>0</v>
      </c>
      <c r="I330" s="38">
        <f>I329-K2*T329</f>
        <v>0.28893570387559253</v>
      </c>
      <c r="J330" s="40">
        <f>J329-K2*U329</f>
        <v>-0.60193960671199054</v>
      </c>
      <c r="K330" s="40">
        <f>K329-K2*V329</f>
        <v>-0.29844371063236663</v>
      </c>
      <c r="L330" s="40">
        <f>L329-K2*W329</f>
        <v>1.0602816223734981</v>
      </c>
      <c r="M330" s="40">
        <f>M329-K2*X329</f>
        <v>0.79069857075292671</v>
      </c>
      <c r="N330" s="35">
        <f t="shared" si="120"/>
        <v>-2.0067104574992691</v>
      </c>
      <c r="O330" s="35">
        <f t="shared" si="121"/>
        <v>0.11850016543646856</v>
      </c>
      <c r="P330" s="36">
        <f t="shared" si="122"/>
        <v>0</v>
      </c>
      <c r="Q330" s="36">
        <f t="shared" si="123"/>
        <v>0.11850016543646856</v>
      </c>
      <c r="R330" s="37">
        <f t="shared" si="124"/>
        <v>1.4042289208470417E-2</v>
      </c>
      <c r="T330" s="31">
        <f t="shared" si="125"/>
        <v>2.4756551228319872E-2</v>
      </c>
      <c r="U330" s="31">
        <f t="shared" si="126"/>
        <v>0.13368537663292732</v>
      </c>
      <c r="V330" s="31">
        <f t="shared" si="127"/>
        <v>9.6550549790447499E-2</v>
      </c>
      <c r="W330" s="31">
        <f t="shared" si="128"/>
        <v>4.208613708814378E-2</v>
      </c>
      <c r="X330" s="31">
        <f t="shared" si="129"/>
        <v>9.9026204913279497E-3</v>
      </c>
    </row>
    <row r="331" spans="1:24" ht="14.25" customHeight="1" x14ac:dyDescent="0.3">
      <c r="A331" s="2"/>
      <c r="B331" s="38">
        <v>7</v>
      </c>
      <c r="C331" s="10">
        <v>4.5999999999999996</v>
      </c>
      <c r="D331" s="11">
        <v>3.4</v>
      </c>
      <c r="E331" s="11">
        <v>1.4</v>
      </c>
      <c r="F331" s="11">
        <v>0.3</v>
      </c>
      <c r="G331" s="39">
        <v>0</v>
      </c>
      <c r="I331" s="38">
        <f>I330-K2*T330</f>
        <v>0.28646004875276054</v>
      </c>
      <c r="J331" s="40">
        <f>J330-K2*U330</f>
        <v>-0.61530814437528325</v>
      </c>
      <c r="K331" s="40">
        <f>K330-K2*V330</f>
        <v>-0.30809876561141136</v>
      </c>
      <c r="L331" s="40">
        <f>L330-K2*W330</f>
        <v>1.0560730086646837</v>
      </c>
      <c r="M331" s="40">
        <f>M330-K2*X330</f>
        <v>0.78970830870379394</v>
      </c>
      <c r="N331" s="35">
        <f t="shared" si="120"/>
        <v>-1.8760785137106459</v>
      </c>
      <c r="O331" s="35">
        <f t="shared" si="121"/>
        <v>0.13283995322464981</v>
      </c>
      <c r="P331" s="36">
        <f t="shared" si="122"/>
        <v>0</v>
      </c>
      <c r="Q331" s="36">
        <f t="shared" si="123"/>
        <v>0.13283995322464981</v>
      </c>
      <c r="R331" s="37">
        <f t="shared" si="124"/>
        <v>1.7646453172727148E-2</v>
      </c>
      <c r="T331" s="31">
        <f t="shared" si="125"/>
        <v>3.0604598317362203E-2</v>
      </c>
      <c r="U331" s="31">
        <f t="shared" si="126"/>
        <v>0.14078115225986612</v>
      </c>
      <c r="V331" s="31">
        <f t="shared" si="127"/>
        <v>0.10405563427903149</v>
      </c>
      <c r="W331" s="31">
        <f t="shared" si="128"/>
        <v>4.2846437644307081E-2</v>
      </c>
      <c r="X331" s="31">
        <f t="shared" si="129"/>
        <v>9.1813794952086605E-3</v>
      </c>
    </row>
    <row r="332" spans="1:24" ht="14.25" customHeight="1" x14ac:dyDescent="0.3">
      <c r="A332" s="2"/>
      <c r="B332" s="38">
        <v>8</v>
      </c>
      <c r="C332" s="10">
        <v>5</v>
      </c>
      <c r="D332" s="11">
        <v>3.4</v>
      </c>
      <c r="E332" s="11">
        <v>1.5</v>
      </c>
      <c r="F332" s="11">
        <v>0.2</v>
      </c>
      <c r="G332" s="39">
        <v>0</v>
      </c>
      <c r="I332" s="38">
        <f>I331-K2*T331</f>
        <v>0.28339958892102435</v>
      </c>
      <c r="J332" s="40">
        <f>J331-K2*U331</f>
        <v>-0.62938625960126982</v>
      </c>
      <c r="K332" s="40">
        <f>K331-K2*V331</f>
        <v>-0.31850432903931453</v>
      </c>
      <c r="L332" s="40">
        <f>L331-K2*W331</f>
        <v>1.0517883649002531</v>
      </c>
      <c r="M332" s="40">
        <f>M331-K2*X331</f>
        <v>0.78879017075427305</v>
      </c>
      <c r="N332" s="35">
        <f t="shared" si="120"/>
        <v>-2.2110058463177604</v>
      </c>
      <c r="O332" s="35">
        <f t="shared" si="121"/>
        <v>9.8766504964808113E-2</v>
      </c>
      <c r="P332" s="36">
        <f t="shared" si="122"/>
        <v>0</v>
      </c>
      <c r="Q332" s="36">
        <f t="shared" si="123"/>
        <v>9.8766504964808113E-2</v>
      </c>
      <c r="R332" s="37">
        <f t="shared" si="124"/>
        <v>9.7548225029634658E-3</v>
      </c>
      <c r="T332" s="31">
        <f t="shared" si="125"/>
        <v>1.7582745555587406E-2</v>
      </c>
      <c r="U332" s="31">
        <f t="shared" si="126"/>
        <v>8.7913727777937031E-2</v>
      </c>
      <c r="V332" s="31">
        <f t="shared" si="127"/>
        <v>5.978133488899718E-2</v>
      </c>
      <c r="W332" s="31">
        <f t="shared" si="128"/>
        <v>2.6374118333381109E-2</v>
      </c>
      <c r="X332" s="31">
        <f t="shared" si="129"/>
        <v>3.5165491111174814E-3</v>
      </c>
    </row>
    <row r="333" spans="1:24" ht="14.25" customHeight="1" x14ac:dyDescent="0.3">
      <c r="A333" s="2"/>
      <c r="B333" s="38">
        <v>9</v>
      </c>
      <c r="C333" s="10">
        <v>4.4000000000000004</v>
      </c>
      <c r="D333" s="11">
        <v>2.9</v>
      </c>
      <c r="E333" s="11">
        <v>1.4</v>
      </c>
      <c r="F333" s="11">
        <v>0.2</v>
      </c>
      <c r="G333" s="39">
        <v>0</v>
      </c>
      <c r="I333" s="38">
        <f>I332-K2*T332</f>
        <v>0.28164131436546563</v>
      </c>
      <c r="J333" s="40">
        <f>J332-K2*U332</f>
        <v>-0.63817763237906355</v>
      </c>
      <c r="K333" s="40">
        <f>K332-K2*V332</f>
        <v>-0.32448246252821422</v>
      </c>
      <c r="L333" s="40">
        <f>L332-K2*W332</f>
        <v>1.049150953066915</v>
      </c>
      <c r="M333" s="40">
        <f>M332-K2*X332</f>
        <v>0.78843851584316127</v>
      </c>
      <c r="N333" s="35">
        <f t="shared" si="120"/>
        <v>-1.8408403719719222</v>
      </c>
      <c r="O333" s="35">
        <f t="shared" si="121"/>
        <v>0.13695193357646906</v>
      </c>
      <c r="P333" s="36">
        <f t="shared" si="122"/>
        <v>0</v>
      </c>
      <c r="Q333" s="36">
        <f t="shared" si="123"/>
        <v>0.13695193357646906</v>
      </c>
      <c r="R333" s="37">
        <f t="shared" si="124"/>
        <v>1.8755832110333596E-2</v>
      </c>
      <c r="T333" s="31">
        <f t="shared" si="125"/>
        <v>3.2374369273975565E-2</v>
      </c>
      <c r="U333" s="31">
        <f t="shared" si="126"/>
        <v>0.14244722480549249</v>
      </c>
      <c r="V333" s="31">
        <f t="shared" si="127"/>
        <v>9.3885670894529136E-2</v>
      </c>
      <c r="W333" s="31">
        <f t="shared" si="128"/>
        <v>4.5324116983565789E-2</v>
      </c>
      <c r="X333" s="31">
        <f t="shared" si="129"/>
        <v>6.4748738547951131E-3</v>
      </c>
    </row>
    <row r="334" spans="1:24" ht="14.25" customHeight="1" x14ac:dyDescent="0.3">
      <c r="A334" s="2"/>
      <c r="B334" s="38">
        <v>10</v>
      </c>
      <c r="C334" s="10">
        <v>4.9000000000000004</v>
      </c>
      <c r="D334" s="11">
        <v>3.1</v>
      </c>
      <c r="E334" s="11">
        <v>1.5</v>
      </c>
      <c r="F334" s="11">
        <v>0.1</v>
      </c>
      <c r="G334" s="39">
        <v>0</v>
      </c>
      <c r="I334" s="38">
        <f>I333-K2*T333</f>
        <v>0.2784038774380681</v>
      </c>
      <c r="J334" s="40">
        <f>J333-K2*U333</f>
        <v>-0.65242235485961275</v>
      </c>
      <c r="K334" s="40">
        <f>K333-K2*V333</f>
        <v>-0.33387102961766713</v>
      </c>
      <c r="L334" s="40">
        <f>L333-K2*W333</f>
        <v>1.0446185413685585</v>
      </c>
      <c r="M334" s="40">
        <f>M333-K2*X333</f>
        <v>0.78779102845768179</v>
      </c>
      <c r="N334" s="35">
        <f t="shared" si="120"/>
        <v>-2.3077589382901973</v>
      </c>
      <c r="O334" s="35">
        <f t="shared" si="121"/>
        <v>9.0482404453630039E-2</v>
      </c>
      <c r="P334" s="36">
        <f t="shared" si="122"/>
        <v>0</v>
      </c>
      <c r="Q334" s="36">
        <f t="shared" si="123"/>
        <v>9.0482404453630039E-2</v>
      </c>
      <c r="R334" s="37">
        <f t="shared" si="124"/>
        <v>8.187065515710289E-3</v>
      </c>
      <c r="T334" s="31">
        <f t="shared" si="125"/>
        <v>1.4892560284858847E-2</v>
      </c>
      <c r="U334" s="31">
        <f t="shared" si="126"/>
        <v>7.2973545395808359E-2</v>
      </c>
      <c r="V334" s="31">
        <f t="shared" si="127"/>
        <v>4.6166936883062427E-2</v>
      </c>
      <c r="W334" s="31">
        <f t="shared" si="128"/>
        <v>2.2338840427288273E-2</v>
      </c>
      <c r="X334" s="31">
        <f t="shared" si="129"/>
        <v>1.4892560284858849E-3</v>
      </c>
    </row>
    <row r="335" spans="1:24" ht="14.25" customHeight="1" x14ac:dyDescent="0.3">
      <c r="A335" s="2"/>
      <c r="B335" s="38">
        <v>11</v>
      </c>
      <c r="C335" s="10">
        <v>5.4</v>
      </c>
      <c r="D335" s="11">
        <v>3.7</v>
      </c>
      <c r="E335" s="11">
        <v>1.5</v>
      </c>
      <c r="F335" s="11">
        <v>0.2</v>
      </c>
      <c r="G335" s="39">
        <v>0</v>
      </c>
      <c r="I335" s="38">
        <f>I334-K2*T334</f>
        <v>0.27691462140958223</v>
      </c>
      <c r="J335" s="40">
        <f>J334-K2*U334</f>
        <v>-0.65971970939919355</v>
      </c>
      <c r="K335" s="40">
        <f>K334-K2*V334</f>
        <v>-0.33848772330597338</v>
      </c>
      <c r="L335" s="40">
        <f>L334-K2*W334</f>
        <v>1.0423846573258297</v>
      </c>
      <c r="M335" s="40">
        <f>M334-K2*X334</f>
        <v>0.78764210285483316</v>
      </c>
      <c r="N335" s="35">
        <f t="shared" si="120"/>
        <v>-2.8168709790184541</v>
      </c>
      <c r="O335" s="35">
        <f t="shared" si="121"/>
        <v>5.6419279566626429E-2</v>
      </c>
      <c r="P335" s="36">
        <f t="shared" si="122"/>
        <v>0</v>
      </c>
      <c r="Q335" s="36">
        <f t="shared" si="123"/>
        <v>5.6419279566626429E-2</v>
      </c>
      <c r="R335" s="37">
        <f t="shared" si="124"/>
        <v>3.1831351068171503E-3</v>
      </c>
      <c r="T335" s="31">
        <f t="shared" si="125"/>
        <v>6.0070898346545809E-3</v>
      </c>
      <c r="U335" s="31">
        <f t="shared" si="126"/>
        <v>3.2438285107134736E-2</v>
      </c>
      <c r="V335" s="31">
        <f t="shared" si="127"/>
        <v>2.222623238822195E-2</v>
      </c>
      <c r="W335" s="31">
        <f t="shared" si="128"/>
        <v>9.0106347519818709E-3</v>
      </c>
      <c r="X335" s="31">
        <f t="shared" si="129"/>
        <v>1.2014179669309162E-3</v>
      </c>
    </row>
    <row r="336" spans="1:24" ht="14.25" customHeight="1" x14ac:dyDescent="0.3">
      <c r="A336" s="2"/>
      <c r="B336" s="38">
        <v>12</v>
      </c>
      <c r="C336" s="10">
        <v>4.8</v>
      </c>
      <c r="D336" s="11">
        <v>3.4</v>
      </c>
      <c r="E336" s="11">
        <v>1.6</v>
      </c>
      <c r="F336" s="11">
        <v>0.2</v>
      </c>
      <c r="G336" s="39">
        <v>0</v>
      </c>
      <c r="I336" s="38">
        <f>I335-K2*T335</f>
        <v>0.27631391242611675</v>
      </c>
      <c r="J336" s="40">
        <f>J335-K2*U335</f>
        <v>-0.66296353790990703</v>
      </c>
      <c r="K336" s="40">
        <f>K335-K2*V335</f>
        <v>-0.34071034654479559</v>
      </c>
      <c r="L336" s="40">
        <f>L335-K2*W335</f>
        <v>1.0414835938506315</v>
      </c>
      <c r="M336" s="40">
        <f>M335-K2*X335</f>
        <v>0.7875219610581401</v>
      </c>
      <c r="N336" s="35">
        <f t="shared" si="120"/>
        <v>-2.2404481054211027</v>
      </c>
      <c r="O336" s="35">
        <f t="shared" si="121"/>
        <v>9.6176582359514734E-2</v>
      </c>
      <c r="P336" s="36">
        <f t="shared" si="122"/>
        <v>0</v>
      </c>
      <c r="Q336" s="36">
        <f t="shared" si="123"/>
        <v>9.6176582359514734E-2</v>
      </c>
      <c r="R336" s="37">
        <f t="shared" si="124"/>
        <v>9.2499349943565203E-3</v>
      </c>
      <c r="T336" s="31">
        <f t="shared" si="125"/>
        <v>1.6720615719103264E-2</v>
      </c>
      <c r="U336" s="31">
        <f t="shared" si="126"/>
        <v>8.025895545169566E-2</v>
      </c>
      <c r="V336" s="31">
        <f t="shared" si="127"/>
        <v>5.6850093444951094E-2</v>
      </c>
      <c r="W336" s="31">
        <f t="shared" si="128"/>
        <v>2.6752985150565223E-2</v>
      </c>
      <c r="X336" s="31">
        <f t="shared" si="129"/>
        <v>3.3441231438206529E-3</v>
      </c>
    </row>
    <row r="337" spans="1:24" ht="14.25" customHeight="1" x14ac:dyDescent="0.3">
      <c r="A337" s="2"/>
      <c r="B337" s="38">
        <v>13</v>
      </c>
      <c r="C337" s="10">
        <v>4.8</v>
      </c>
      <c r="D337" s="11">
        <v>3</v>
      </c>
      <c r="E337" s="11">
        <v>1.4</v>
      </c>
      <c r="F337" s="11">
        <v>0.1</v>
      </c>
      <c r="G337" s="39">
        <v>0</v>
      </c>
      <c r="I337" s="38">
        <f>I336-K2*T336</f>
        <v>0.27464185085420645</v>
      </c>
      <c r="J337" s="40">
        <f>J336-K2*U336</f>
        <v>-0.67098943345507656</v>
      </c>
      <c r="K337" s="40">
        <f>K336-K2*V336</f>
        <v>-0.34639535588929071</v>
      </c>
      <c r="L337" s="40">
        <f>L336-K2*W336</f>
        <v>1.0388082953355751</v>
      </c>
      <c r="M337" s="40">
        <f>M336-K2*X336</f>
        <v>0.78718754874375807</v>
      </c>
      <c r="N337" s="35">
        <f t="shared" si="120"/>
        <v>-2.4522431290538522</v>
      </c>
      <c r="O337" s="35">
        <f t="shared" si="121"/>
        <v>7.9274668164030393E-2</v>
      </c>
      <c r="P337" s="36">
        <f t="shared" si="122"/>
        <v>0</v>
      </c>
      <c r="Q337" s="36">
        <f t="shared" si="123"/>
        <v>7.9274668164030393E-2</v>
      </c>
      <c r="R337" s="37">
        <f t="shared" si="124"/>
        <v>6.2844730125171337E-3</v>
      </c>
      <c r="T337" s="31">
        <f t="shared" si="125"/>
        <v>1.1572546999728067E-2</v>
      </c>
      <c r="U337" s="31">
        <f t="shared" si="126"/>
        <v>5.5548225598694718E-2</v>
      </c>
      <c r="V337" s="31">
        <f t="shared" si="127"/>
        <v>3.4717640999184202E-2</v>
      </c>
      <c r="W337" s="31">
        <f t="shared" si="128"/>
        <v>1.6201565799619292E-2</v>
      </c>
      <c r="X337" s="31">
        <f t="shared" si="129"/>
        <v>1.1572546999728069E-3</v>
      </c>
    </row>
    <row r="338" spans="1:24" ht="14.25" customHeight="1" x14ac:dyDescent="0.3">
      <c r="A338" s="2"/>
      <c r="B338" s="38">
        <v>14</v>
      </c>
      <c r="C338" s="10">
        <v>4.3</v>
      </c>
      <c r="D338" s="11">
        <v>3</v>
      </c>
      <c r="E338" s="11">
        <v>1.1000000000000001</v>
      </c>
      <c r="F338" s="11">
        <v>0.1</v>
      </c>
      <c r="G338" s="39">
        <v>0</v>
      </c>
      <c r="I338" s="38">
        <f>I337-K2*T337</f>
        <v>0.27348459615423365</v>
      </c>
      <c r="J338" s="40">
        <f>J337-K2*U337</f>
        <v>-0.67654425601494605</v>
      </c>
      <c r="K338" s="40">
        <f>K337-K2*V337</f>
        <v>-0.34986711998920911</v>
      </c>
      <c r="L338" s="40">
        <f>L337-K2*W337</f>
        <v>1.0371881387556132</v>
      </c>
      <c r="M338" s="40">
        <f>M337-K2*X337</f>
        <v>0.7870718232737608</v>
      </c>
      <c r="N338" s="35">
        <f t="shared" si="120"/>
        <v>-2.4656429297191109</v>
      </c>
      <c r="O338" s="35">
        <f t="shared" si="121"/>
        <v>7.8302111570351246E-2</v>
      </c>
      <c r="P338" s="36">
        <f t="shared" si="122"/>
        <v>0</v>
      </c>
      <c r="Q338" s="36">
        <f t="shared" si="123"/>
        <v>7.8302111570351246E-2</v>
      </c>
      <c r="R338" s="37">
        <f t="shared" si="124"/>
        <v>6.1312206763757347E-3</v>
      </c>
      <c r="T338" s="31">
        <f t="shared" si="125"/>
        <v>1.1302266301823434E-2</v>
      </c>
      <c r="U338" s="31">
        <f t="shared" si="126"/>
        <v>4.8599745097840763E-2</v>
      </c>
      <c r="V338" s="31">
        <f t="shared" si="127"/>
        <v>3.3906798905470305E-2</v>
      </c>
      <c r="W338" s="31">
        <f t="shared" si="128"/>
        <v>1.2432492932005778E-2</v>
      </c>
      <c r="X338" s="31">
        <f t="shared" si="129"/>
        <v>1.1302266301823434E-3</v>
      </c>
    </row>
    <row r="339" spans="1:24" ht="14.25" customHeight="1" x14ac:dyDescent="0.3">
      <c r="A339" s="2"/>
      <c r="B339" s="38">
        <v>15</v>
      </c>
      <c r="C339" s="10">
        <v>5.8</v>
      </c>
      <c r="D339" s="11">
        <v>4</v>
      </c>
      <c r="E339" s="11">
        <v>1.2</v>
      </c>
      <c r="F339" s="11">
        <v>0.2</v>
      </c>
      <c r="G339" s="39">
        <v>0</v>
      </c>
      <c r="I339" s="38">
        <f>I338-K2*T338</f>
        <v>0.27235436952405129</v>
      </c>
      <c r="J339" s="40">
        <f>J338-K2*U338</f>
        <v>-0.68140423052473009</v>
      </c>
      <c r="K339" s="40">
        <f>K338-K2*V338</f>
        <v>-0.35325779987975614</v>
      </c>
      <c r="L339" s="40">
        <f>L338-K2*W338</f>
        <v>1.0359448894624126</v>
      </c>
      <c r="M339" s="40">
        <f>M338-K2*X338</f>
        <v>0.78695880061074253</v>
      </c>
      <c r="N339" s="35">
        <f t="shared" si="120"/>
        <v>-3.6922957395613643</v>
      </c>
      <c r="O339" s="35">
        <f t="shared" si="121"/>
        <v>2.4309084109562784E-2</v>
      </c>
      <c r="P339" s="36">
        <f t="shared" si="122"/>
        <v>0</v>
      </c>
      <c r="Q339" s="36">
        <f t="shared" si="123"/>
        <v>2.4309084109562784E-2</v>
      </c>
      <c r="R339" s="37">
        <f t="shared" si="124"/>
        <v>5.909315702457979E-4</v>
      </c>
      <c r="T339" s="31">
        <f t="shared" si="125"/>
        <v>1.1531331300033934E-3</v>
      </c>
      <c r="U339" s="31">
        <f t="shared" si="126"/>
        <v>6.6881721540196816E-3</v>
      </c>
      <c r="V339" s="31">
        <f t="shared" si="127"/>
        <v>4.6125325200135738E-3</v>
      </c>
      <c r="W339" s="31">
        <f t="shared" si="128"/>
        <v>1.3837597560040721E-3</v>
      </c>
      <c r="X339" s="31">
        <f t="shared" si="129"/>
        <v>2.306266260006787E-4</v>
      </c>
    </row>
    <row r="340" spans="1:24" ht="14.25" customHeight="1" x14ac:dyDescent="0.3">
      <c r="A340" s="2"/>
      <c r="B340" s="38">
        <v>16</v>
      </c>
      <c r="C340" s="10">
        <v>5.7</v>
      </c>
      <c r="D340" s="11">
        <v>4.4000000000000004</v>
      </c>
      <c r="E340" s="11">
        <v>1.5</v>
      </c>
      <c r="F340" s="11">
        <v>0.4</v>
      </c>
      <c r="G340" s="39">
        <v>0</v>
      </c>
      <c r="I340" s="38">
        <f>I339-K2*T339</f>
        <v>0.27223905621105093</v>
      </c>
      <c r="J340" s="40">
        <f>J339-K2*U339</f>
        <v>-0.68207304774013211</v>
      </c>
      <c r="K340" s="40">
        <f>K339-K2*V339</f>
        <v>-0.3537190531317575</v>
      </c>
      <c r="L340" s="40">
        <f>L339-K2*W339</f>
        <v>1.0358065134868122</v>
      </c>
      <c r="M340" s="40">
        <f>M339-K2*X339</f>
        <v>0.78693573794814242</v>
      </c>
      <c r="N340" s="35">
        <f t="shared" si="120"/>
        <v>-3.30345708427796</v>
      </c>
      <c r="O340" s="35">
        <f t="shared" si="121"/>
        <v>3.5452781185401232E-2</v>
      </c>
      <c r="P340" s="36">
        <f t="shared" si="122"/>
        <v>0</v>
      </c>
      <c r="Q340" s="36">
        <f t="shared" si="123"/>
        <v>3.5452781185401232E-2</v>
      </c>
      <c r="R340" s="37">
        <f t="shared" si="124"/>
        <v>1.2568996937799397E-3</v>
      </c>
      <c r="T340" s="31">
        <f t="shared" si="125"/>
        <v>2.4246782079287233E-3</v>
      </c>
      <c r="U340" s="31">
        <f t="shared" si="126"/>
        <v>1.3820665785193724E-2</v>
      </c>
      <c r="V340" s="31">
        <f t="shared" si="127"/>
        <v>1.0668584114886383E-2</v>
      </c>
      <c r="W340" s="31">
        <f t="shared" si="128"/>
        <v>3.6370173118930849E-3</v>
      </c>
      <c r="X340" s="31">
        <f t="shared" si="129"/>
        <v>9.6987128317148937E-4</v>
      </c>
    </row>
    <row r="341" spans="1:24" ht="14.25" customHeight="1" x14ac:dyDescent="0.3">
      <c r="A341" s="2"/>
      <c r="B341" s="38">
        <v>17</v>
      </c>
      <c r="C341" s="10">
        <v>5.4</v>
      </c>
      <c r="D341" s="11">
        <v>3.9</v>
      </c>
      <c r="E341" s="11">
        <v>1.3</v>
      </c>
      <c r="F341" s="11">
        <v>0.4</v>
      </c>
      <c r="G341" s="39">
        <v>0</v>
      </c>
      <c r="I341" s="38">
        <f>I340-K2*T340</f>
        <v>0.27199658839025809</v>
      </c>
      <c r="J341" s="40">
        <f>J340-K2*U340</f>
        <v>-0.68345511431865147</v>
      </c>
      <c r="K341" s="40">
        <f>K340-K2*V340</f>
        <v>-0.35478591154324612</v>
      </c>
      <c r="L341" s="40">
        <f>L340-K2*W340</f>
        <v>1.0354428117556229</v>
      </c>
      <c r="M341" s="40">
        <f>M340-K2*X340</f>
        <v>0.78683875081982524</v>
      </c>
      <c r="N341" s="35">
        <f t="shared" si="120"/>
        <v>-3.1415149283388795</v>
      </c>
      <c r="O341" s="35">
        <f t="shared" si="121"/>
        <v>4.1426918582728491E-2</v>
      </c>
      <c r="P341" s="36">
        <f t="shared" si="122"/>
        <v>0</v>
      </c>
      <c r="Q341" s="36">
        <f t="shared" si="123"/>
        <v>4.1426918582728491E-2</v>
      </c>
      <c r="R341" s="37">
        <f t="shared" si="124"/>
        <v>1.7161895832600151E-3</v>
      </c>
      <c r="T341" s="31">
        <f t="shared" si="125"/>
        <v>3.2901862742435515E-3</v>
      </c>
      <c r="U341" s="31">
        <f t="shared" si="126"/>
        <v>1.776700588091518E-2</v>
      </c>
      <c r="V341" s="31">
        <f t="shared" si="127"/>
        <v>1.283172646954985E-2</v>
      </c>
      <c r="W341" s="31">
        <f t="shared" si="128"/>
        <v>4.2772421565166171E-3</v>
      </c>
      <c r="X341" s="31">
        <f t="shared" si="129"/>
        <v>1.3160745096974207E-3</v>
      </c>
    </row>
    <row r="342" spans="1:24" ht="14.25" customHeight="1" x14ac:dyDescent="0.3">
      <c r="A342" s="2"/>
      <c r="B342" s="38">
        <v>18</v>
      </c>
      <c r="C342" s="10">
        <v>5.0999999999999996</v>
      </c>
      <c r="D342" s="11">
        <v>3.5</v>
      </c>
      <c r="E342" s="11">
        <v>1.4</v>
      </c>
      <c r="F342" s="11">
        <v>0.3</v>
      </c>
      <c r="G342" s="39">
        <v>0</v>
      </c>
      <c r="I342" s="38">
        <f>I341-K2*T341</f>
        <v>0.27166756976283374</v>
      </c>
      <c r="J342" s="40">
        <f>J341-K2*U341</f>
        <v>-0.68523181490674301</v>
      </c>
      <c r="K342" s="40">
        <f>K341-K2*V341</f>
        <v>-0.35606908419020111</v>
      </c>
      <c r="L342" s="40">
        <f>L341-K2*W341</f>
        <v>1.0350150875399713</v>
      </c>
      <c r="M342" s="40">
        <f>M341-K2*X341</f>
        <v>0.7867071433688555</v>
      </c>
      <c r="N342" s="35">
        <f t="shared" si="120"/>
        <v>-2.784223215360643</v>
      </c>
      <c r="O342" s="35">
        <f t="shared" si="121"/>
        <v>5.8182701735441135E-2</v>
      </c>
      <c r="P342" s="36">
        <f t="shared" si="122"/>
        <v>0</v>
      </c>
      <c r="Q342" s="36">
        <f t="shared" si="123"/>
        <v>5.8182701735441135E-2</v>
      </c>
      <c r="R342" s="37">
        <f t="shared" si="124"/>
        <v>3.385226781235305E-3</v>
      </c>
      <c r="T342" s="31">
        <f t="shared" si="125"/>
        <v>6.3765302822317276E-3</v>
      </c>
      <c r="U342" s="31">
        <f t="shared" si="126"/>
        <v>3.2520304439381809E-2</v>
      </c>
      <c r="V342" s="31">
        <f t="shared" si="127"/>
        <v>2.2317855987811046E-2</v>
      </c>
      <c r="W342" s="31">
        <f t="shared" si="128"/>
        <v>8.9271423951244183E-3</v>
      </c>
      <c r="X342" s="31">
        <f t="shared" si="129"/>
        <v>1.9129590846695182E-3</v>
      </c>
    </row>
    <row r="343" spans="1:24" ht="14.25" customHeight="1" x14ac:dyDescent="0.3">
      <c r="A343" s="2"/>
      <c r="B343" s="38">
        <v>19</v>
      </c>
      <c r="C343" s="10">
        <v>5.7</v>
      </c>
      <c r="D343" s="11">
        <v>3.8</v>
      </c>
      <c r="E343" s="11">
        <v>1.7</v>
      </c>
      <c r="F343" s="11">
        <v>0.3</v>
      </c>
      <c r="G343" s="39">
        <v>0</v>
      </c>
      <c r="I343" s="38">
        <f>I342-K2*T342</f>
        <v>0.27102991673461058</v>
      </c>
      <c r="J343" s="40">
        <f>J342-K2*U342</f>
        <v>-0.68848384535068119</v>
      </c>
      <c r="K343" s="40">
        <f>K342-K2*V342</f>
        <v>-0.35830086978898223</v>
      </c>
      <c r="L343" s="40">
        <f>L342-K2*W342</f>
        <v>1.0341223733004588</v>
      </c>
      <c r="M343" s="40">
        <f>M342-K2*X342</f>
        <v>0.7865158474603885</v>
      </c>
      <c r="N343" s="35">
        <f t="shared" si="120"/>
        <v>-3.0209085181135089</v>
      </c>
      <c r="O343" s="35">
        <f t="shared" si="121"/>
        <v>4.6490184356521004E-2</v>
      </c>
      <c r="P343" s="36">
        <f t="shared" si="122"/>
        <v>0</v>
      </c>
      <c r="Q343" s="36">
        <f t="shared" si="123"/>
        <v>4.6490184356521004E-2</v>
      </c>
      <c r="R343" s="37">
        <f t="shared" si="124"/>
        <v>2.1613372415033101E-3</v>
      </c>
      <c r="T343" s="31">
        <f t="shared" si="125"/>
        <v>4.1217125493784139E-3</v>
      </c>
      <c r="U343" s="31">
        <f t="shared" si="126"/>
        <v>2.349376153145696E-2</v>
      </c>
      <c r="V343" s="31">
        <f t="shared" si="127"/>
        <v>1.5662507687637973E-2</v>
      </c>
      <c r="W343" s="31">
        <f t="shared" si="128"/>
        <v>7.0069113339433038E-3</v>
      </c>
      <c r="X343" s="31">
        <f t="shared" si="129"/>
        <v>1.2365137648135242E-3</v>
      </c>
    </row>
    <row r="344" spans="1:24" ht="14.25" customHeight="1" x14ac:dyDescent="0.3">
      <c r="A344" s="2"/>
      <c r="B344" s="38">
        <v>20</v>
      </c>
      <c r="C344" s="10">
        <v>5.0999999999999996</v>
      </c>
      <c r="D344" s="11">
        <v>3.8</v>
      </c>
      <c r="E344" s="11">
        <v>1.5</v>
      </c>
      <c r="F344" s="11">
        <v>0.3</v>
      </c>
      <c r="G344" s="39">
        <v>0</v>
      </c>
      <c r="I344" s="38">
        <f>I343-K2*T343</f>
        <v>0.27061774547967271</v>
      </c>
      <c r="J344" s="40">
        <f>J343-K2*U343</f>
        <v>-0.69083322150382687</v>
      </c>
      <c r="K344" s="40">
        <f>K343-K2*V343</f>
        <v>-0.35986712055774606</v>
      </c>
      <c r="L344" s="40">
        <f>L343-K2*W343</f>
        <v>1.0334216821670643</v>
      </c>
      <c r="M344" s="40">
        <f>M343-K2*X343</f>
        <v>0.78639219608390709</v>
      </c>
      <c r="N344" s="35">
        <f t="shared" si="120"/>
        <v>-2.8340765602335107</v>
      </c>
      <c r="O344" s="35">
        <f t="shared" si="121"/>
        <v>5.5510280721297704E-2</v>
      </c>
      <c r="P344" s="36">
        <f t="shared" si="122"/>
        <v>0</v>
      </c>
      <c r="Q344" s="36">
        <f t="shared" si="123"/>
        <v>5.5510280721297704E-2</v>
      </c>
      <c r="R344" s="37">
        <f t="shared" si="124"/>
        <v>3.0813912657572757E-3</v>
      </c>
      <c r="T344" s="31">
        <f t="shared" si="125"/>
        <v>5.8206847431658687E-3</v>
      </c>
      <c r="U344" s="31">
        <f t="shared" si="126"/>
        <v>2.9685492190145928E-2</v>
      </c>
      <c r="V344" s="31">
        <f t="shared" si="127"/>
        <v>2.21186020240303E-2</v>
      </c>
      <c r="W344" s="31">
        <f t="shared" si="128"/>
        <v>8.7310271147488031E-3</v>
      </c>
      <c r="X344" s="31">
        <f t="shared" si="129"/>
        <v>1.7462054229497605E-3</v>
      </c>
    </row>
    <row r="345" spans="1:24" ht="14.25" customHeight="1" x14ac:dyDescent="0.3">
      <c r="A345" s="2"/>
      <c r="B345" s="38">
        <v>21</v>
      </c>
      <c r="C345" s="10">
        <v>5.4</v>
      </c>
      <c r="D345" s="11">
        <v>3.4</v>
      </c>
      <c r="E345" s="11">
        <v>1.7</v>
      </c>
      <c r="F345" s="11">
        <v>0.2</v>
      </c>
      <c r="G345" s="39">
        <v>0</v>
      </c>
      <c r="I345" s="38">
        <f>I344-K2*T344</f>
        <v>0.27003567700535613</v>
      </c>
      <c r="J345" s="40">
        <f>J344-K2*U344</f>
        <v>-0.69380177072284144</v>
      </c>
      <c r="K345" s="40">
        <f>K344-K2*V344</f>
        <v>-0.36207898076014911</v>
      </c>
      <c r="L345" s="40">
        <f>L344-K2*W344</f>
        <v>1.0325485794555895</v>
      </c>
      <c r="M345" s="40">
        <f>M344-K2*X344</f>
        <v>0.78621757554161209</v>
      </c>
      <c r="N345" s="35">
        <f t="shared" si="120"/>
        <v>-2.79498631929967</v>
      </c>
      <c r="O345" s="35">
        <f t="shared" si="121"/>
        <v>5.7595707830650947E-2</v>
      </c>
      <c r="P345" s="36">
        <f t="shared" si="122"/>
        <v>0</v>
      </c>
      <c r="Q345" s="36">
        <f t="shared" si="123"/>
        <v>5.7595707830650947E-2</v>
      </c>
      <c r="R345" s="37">
        <f t="shared" si="124"/>
        <v>3.3172655605137069E-3</v>
      </c>
      <c r="T345" s="31">
        <f t="shared" si="125"/>
        <v>6.2524106049873579E-3</v>
      </c>
      <c r="U345" s="31">
        <f t="shared" si="126"/>
        <v>3.3763017266931733E-2</v>
      </c>
      <c r="V345" s="31">
        <f t="shared" si="127"/>
        <v>2.1258196056957016E-2</v>
      </c>
      <c r="W345" s="31">
        <f t="shared" si="128"/>
        <v>1.0629098028478508E-2</v>
      </c>
      <c r="X345" s="31">
        <f t="shared" si="129"/>
        <v>1.2504821209974716E-3</v>
      </c>
    </row>
    <row r="346" spans="1:24" ht="14.25" customHeight="1" x14ac:dyDescent="0.3">
      <c r="A346" s="2"/>
      <c r="B346" s="38">
        <v>22</v>
      </c>
      <c r="C346" s="10">
        <v>5.0999999999999996</v>
      </c>
      <c r="D346" s="11">
        <v>3.7</v>
      </c>
      <c r="E346" s="11">
        <v>1.5</v>
      </c>
      <c r="F346" s="11">
        <v>0.4</v>
      </c>
      <c r="G346" s="39">
        <v>0</v>
      </c>
      <c r="I346" s="38">
        <f>I345-K2*T345</f>
        <v>0.26941043594485742</v>
      </c>
      <c r="J346" s="40">
        <f>J345-K2*U345</f>
        <v>-0.69717807244953456</v>
      </c>
      <c r="K346" s="40">
        <f>K345-K2*V345</f>
        <v>-0.36420480036584479</v>
      </c>
      <c r="L346" s="40">
        <f>L345-K2*W345</f>
        <v>1.0314856696527417</v>
      </c>
      <c r="M346" s="40">
        <f>M345-K2*X345</f>
        <v>0.78609252732951229</v>
      </c>
      <c r="N346" s="35">
        <f t="shared" si="120"/>
        <v>-2.772089979490477</v>
      </c>
      <c r="O346" s="35">
        <f t="shared" si="121"/>
        <v>5.8851147543433013E-2</v>
      </c>
      <c r="P346" s="36">
        <f t="shared" si="122"/>
        <v>0</v>
      </c>
      <c r="Q346" s="36">
        <f t="shared" si="123"/>
        <v>5.8851147543433013E-2</v>
      </c>
      <c r="R346" s="37">
        <f t="shared" si="124"/>
        <v>3.4634575671789215E-3</v>
      </c>
      <c r="T346" s="31">
        <f t="shared" si="125"/>
        <v>6.5192582297649102E-3</v>
      </c>
      <c r="U346" s="31">
        <f t="shared" si="126"/>
        <v>3.324821697180104E-2</v>
      </c>
      <c r="V346" s="31">
        <f t="shared" si="127"/>
        <v>2.412125545013017E-2</v>
      </c>
      <c r="W346" s="31">
        <f t="shared" si="128"/>
        <v>9.7788873446473662E-3</v>
      </c>
      <c r="X346" s="31">
        <f t="shared" si="129"/>
        <v>2.6077032919059641E-3</v>
      </c>
    </row>
    <row r="347" spans="1:24" ht="14.25" customHeight="1" x14ac:dyDescent="0.3">
      <c r="A347" s="2"/>
      <c r="B347" s="38">
        <v>23</v>
      </c>
      <c r="C347" s="10">
        <v>4.5999999999999996</v>
      </c>
      <c r="D347" s="11">
        <v>3.6</v>
      </c>
      <c r="E347" s="11">
        <v>1</v>
      </c>
      <c r="F347" s="11">
        <v>0.2</v>
      </c>
      <c r="G347" s="39">
        <v>0</v>
      </c>
      <c r="I347" s="38">
        <f>I346-K2*T346</f>
        <v>0.2687585101218809</v>
      </c>
      <c r="J347" s="40">
        <f>J346-K2*U346</f>
        <v>-0.70050289414671463</v>
      </c>
      <c r="K347" s="40">
        <f>K346-K2*V346</f>
        <v>-0.36661692591085782</v>
      </c>
      <c r="L347" s="40">
        <f>L346-K2*W346</f>
        <v>1.030507780918277</v>
      </c>
      <c r="M347" s="40">
        <f>M346-K2*X346</f>
        <v>0.78583175700032171</v>
      </c>
      <c r="N347" s="35">
        <f t="shared" si="120"/>
        <v>-3.0857016039137535</v>
      </c>
      <c r="O347" s="35">
        <f t="shared" si="121"/>
        <v>4.3700917947576523E-2</v>
      </c>
      <c r="P347" s="36">
        <f t="shared" si="122"/>
        <v>0</v>
      </c>
      <c r="Q347" s="36">
        <f t="shared" si="123"/>
        <v>4.3700917947576523E-2</v>
      </c>
      <c r="R347" s="37">
        <f t="shared" si="124"/>
        <v>1.9097702294608159E-3</v>
      </c>
      <c r="T347" s="31">
        <f t="shared" si="125"/>
        <v>3.6526230347288485E-3</v>
      </c>
      <c r="U347" s="31">
        <f t="shared" si="126"/>
        <v>1.6802065959752702E-2</v>
      </c>
      <c r="V347" s="31">
        <f t="shared" si="127"/>
        <v>1.3149442925023855E-2</v>
      </c>
      <c r="W347" s="31">
        <f t="shared" si="128"/>
        <v>3.6526230347288485E-3</v>
      </c>
      <c r="X347" s="31">
        <f t="shared" si="129"/>
        <v>7.3052460694576977E-4</v>
      </c>
    </row>
    <row r="348" spans="1:24" ht="14.25" customHeight="1" x14ac:dyDescent="0.3">
      <c r="A348" s="2"/>
      <c r="B348" s="38">
        <v>24</v>
      </c>
      <c r="C348" s="10">
        <v>5.0999999999999996</v>
      </c>
      <c r="D348" s="11">
        <v>3.3</v>
      </c>
      <c r="E348" s="11">
        <v>1.7</v>
      </c>
      <c r="F348" s="11">
        <v>0.5</v>
      </c>
      <c r="G348" s="39">
        <v>0</v>
      </c>
      <c r="I348" s="38">
        <f>I347-K2*T347</f>
        <v>0.26839324781840801</v>
      </c>
      <c r="J348" s="40">
        <f>J347-K2*U347</f>
        <v>-0.70218310074268986</v>
      </c>
      <c r="K348" s="40">
        <f>K347-K2*V347</f>
        <v>-0.36793187020336021</v>
      </c>
      <c r="L348" s="40">
        <f>L347-K2*W347</f>
        <v>1.0301425186148041</v>
      </c>
      <c r="M348" s="40">
        <f>M347-K2*X347</f>
        <v>0.78575870453962715</v>
      </c>
      <c r="N348" s="35">
        <f t="shared" si="120"/>
        <v>-2.3827941037254177</v>
      </c>
      <c r="O348" s="35">
        <f t="shared" si="121"/>
        <v>8.4494177006316021E-2</v>
      </c>
      <c r="P348" s="36">
        <f t="shared" si="122"/>
        <v>0</v>
      </c>
      <c r="Q348" s="36">
        <f t="shared" si="123"/>
        <v>8.4494177006316021E-2</v>
      </c>
      <c r="R348" s="37">
        <f t="shared" si="124"/>
        <v>7.1392659479746629E-3</v>
      </c>
      <c r="T348" s="31">
        <f t="shared" si="125"/>
        <v>1.3072079094542655E-2</v>
      </c>
      <c r="U348" s="31">
        <f t="shared" si="126"/>
        <v>6.666760338216754E-2</v>
      </c>
      <c r="V348" s="31">
        <f t="shared" si="127"/>
        <v>4.3137861011990762E-2</v>
      </c>
      <c r="W348" s="31">
        <f t="shared" si="128"/>
        <v>2.2222534460722514E-2</v>
      </c>
      <c r="X348" s="31">
        <f t="shared" si="129"/>
        <v>6.5360395472713276E-3</v>
      </c>
    </row>
    <row r="349" spans="1:24" ht="14.25" customHeight="1" x14ac:dyDescent="0.3">
      <c r="A349" s="2"/>
      <c r="B349" s="38">
        <v>25</v>
      </c>
      <c r="C349" s="10">
        <v>4.8</v>
      </c>
      <c r="D349" s="11">
        <v>3.4</v>
      </c>
      <c r="E349" s="11">
        <v>1.9</v>
      </c>
      <c r="F349" s="11">
        <v>0.2</v>
      </c>
      <c r="G349" s="39">
        <v>0</v>
      </c>
      <c r="I349" s="38">
        <f>I348-K2*T348</f>
        <v>0.26708603990895374</v>
      </c>
      <c r="J349" s="40">
        <f>J348-K2*U348</f>
        <v>-0.70884986108090664</v>
      </c>
      <c r="K349" s="40">
        <f>K348-K2*V348</f>
        <v>-0.3722456563045593</v>
      </c>
      <c r="L349" s="40">
        <f>L348-K2*W348</f>
        <v>1.0279202651687318</v>
      </c>
      <c r="M349" s="40">
        <f>M348-K2*X348</f>
        <v>0.78510510058490002</v>
      </c>
      <c r="N349" s="35">
        <f t="shared" si="120"/>
        <v>-2.2909590007773288</v>
      </c>
      <c r="O349" s="35">
        <f t="shared" si="121"/>
        <v>9.1874505739457796E-2</v>
      </c>
      <c r="P349" s="36">
        <f t="shared" si="122"/>
        <v>0</v>
      </c>
      <c r="Q349" s="36">
        <f t="shared" si="123"/>
        <v>9.1874505739457796E-2</v>
      </c>
      <c r="R349" s="37">
        <f t="shared" si="124"/>
        <v>8.4409248048696629E-3</v>
      </c>
      <c r="T349" s="31">
        <f t="shared" si="125"/>
        <v>1.5330838020876668E-2</v>
      </c>
      <c r="U349" s="31">
        <f t="shared" si="126"/>
        <v>7.3588022500208003E-2</v>
      </c>
      <c r="V349" s="31">
        <f t="shared" si="127"/>
        <v>5.2124849270980669E-2</v>
      </c>
      <c r="W349" s="31">
        <f t="shared" si="128"/>
        <v>2.9128592239665668E-2</v>
      </c>
      <c r="X349" s="31">
        <f t="shared" si="129"/>
        <v>3.0661676041753337E-3</v>
      </c>
    </row>
    <row r="350" spans="1:24" ht="14.25" customHeight="1" x14ac:dyDescent="0.3">
      <c r="A350" s="2"/>
      <c r="B350" s="38">
        <v>26</v>
      </c>
      <c r="C350" s="10">
        <v>5</v>
      </c>
      <c r="D350" s="11">
        <v>3</v>
      </c>
      <c r="E350" s="11">
        <v>1.6</v>
      </c>
      <c r="F350" s="11">
        <v>0.2</v>
      </c>
      <c r="G350" s="39">
        <v>0</v>
      </c>
      <c r="I350" s="38">
        <f>I349-K2*T349</f>
        <v>0.26555295610686608</v>
      </c>
      <c r="J350" s="40">
        <f>J349-K2*U349</f>
        <v>-0.71620866333092748</v>
      </c>
      <c r="K350" s="40">
        <f>K349-K2*V349</f>
        <v>-0.37745814123165738</v>
      </c>
      <c r="L350" s="40">
        <f>L349-K2*W349</f>
        <v>1.0250074059447651</v>
      </c>
      <c r="M350" s="40">
        <f>M349-K2*X349</f>
        <v>0.78479848382448247</v>
      </c>
      <c r="N350" s="35">
        <f t="shared" si="120"/>
        <v>-2.6508932379662231</v>
      </c>
      <c r="O350" s="35">
        <f t="shared" si="121"/>
        <v>6.5933976589958393E-2</v>
      </c>
      <c r="P350" s="36">
        <f t="shared" si="122"/>
        <v>0</v>
      </c>
      <c r="Q350" s="36">
        <f t="shared" si="123"/>
        <v>6.5933976589958393E-2</v>
      </c>
      <c r="R350" s="37">
        <f t="shared" si="124"/>
        <v>4.3472892689651816E-3</v>
      </c>
      <c r="T350" s="31">
        <f t="shared" si="125"/>
        <v>8.1213104001509068E-3</v>
      </c>
      <c r="U350" s="31">
        <f t="shared" si="126"/>
        <v>4.0606552000754532E-2</v>
      </c>
      <c r="V350" s="31">
        <f t="shared" si="127"/>
        <v>2.4363931200452722E-2</v>
      </c>
      <c r="W350" s="31">
        <f t="shared" si="128"/>
        <v>1.2994096640241452E-2</v>
      </c>
      <c r="X350" s="31">
        <f t="shared" si="129"/>
        <v>1.6242620800301815E-3</v>
      </c>
    </row>
    <row r="351" spans="1:24" ht="14.25" customHeight="1" x14ac:dyDescent="0.3">
      <c r="A351" s="2"/>
      <c r="B351" s="38">
        <v>27</v>
      </c>
      <c r="C351" s="10">
        <v>5</v>
      </c>
      <c r="D351" s="11">
        <v>3.4</v>
      </c>
      <c r="E351" s="11">
        <v>1.6</v>
      </c>
      <c r="F351" s="11">
        <v>0.4</v>
      </c>
      <c r="G351" s="39">
        <v>0</v>
      </c>
      <c r="I351" s="38">
        <f>I350-K2*T350</f>
        <v>0.26474082506685098</v>
      </c>
      <c r="J351" s="40">
        <f>J350-K2*U350</f>
        <v>-0.72026931853100296</v>
      </c>
      <c r="K351" s="40">
        <f>K350-K2*V350</f>
        <v>-0.37989453435170267</v>
      </c>
      <c r="L351" s="40">
        <f>L350-K2*W350</f>
        <v>1.0237079962807409</v>
      </c>
      <c r="M351" s="40">
        <f>M350-K2*X350</f>
        <v>0.78463605761647948</v>
      </c>
      <c r="N351" s="35">
        <f t="shared" si="120"/>
        <v>-2.6764599672881753</v>
      </c>
      <c r="O351" s="35">
        <f t="shared" si="121"/>
        <v>6.437677255077083E-2</v>
      </c>
      <c r="P351" s="36">
        <f t="shared" si="122"/>
        <v>0</v>
      </c>
      <c r="Q351" s="36">
        <f t="shared" si="123"/>
        <v>6.437677255077083E-2</v>
      </c>
      <c r="R351" s="37">
        <f t="shared" si="124"/>
        <v>4.144368844053681E-3</v>
      </c>
      <c r="T351" s="31">
        <f t="shared" si="125"/>
        <v>7.7551355072270718E-3</v>
      </c>
      <c r="U351" s="31">
        <f t="shared" si="126"/>
        <v>3.877567753613536E-2</v>
      </c>
      <c r="V351" s="31">
        <f t="shared" si="127"/>
        <v>2.6367460724572044E-2</v>
      </c>
      <c r="W351" s="31">
        <f t="shared" si="128"/>
        <v>1.2408216811563316E-2</v>
      </c>
      <c r="X351" s="31">
        <f t="shared" si="129"/>
        <v>3.1020542028908291E-3</v>
      </c>
    </row>
    <row r="352" spans="1:24" ht="14.25" customHeight="1" x14ac:dyDescent="0.3">
      <c r="A352" s="2"/>
      <c r="B352" s="38">
        <v>28</v>
      </c>
      <c r="C352" s="10">
        <v>5.2</v>
      </c>
      <c r="D352" s="11">
        <v>3.5</v>
      </c>
      <c r="E352" s="11">
        <v>1.5</v>
      </c>
      <c r="F352" s="11">
        <v>0.2</v>
      </c>
      <c r="G352" s="39">
        <v>0</v>
      </c>
      <c r="I352" s="38">
        <f>I351-K2*T351</f>
        <v>0.26396531151612829</v>
      </c>
      <c r="J352" s="40">
        <f>J351-K2*U351</f>
        <v>-0.72414688628461654</v>
      </c>
      <c r="K352" s="40">
        <f>K351-K2*V351</f>
        <v>-0.3825312804241599</v>
      </c>
      <c r="L352" s="40">
        <f>L351-K2*W351</f>
        <v>1.0224671745995846</v>
      </c>
      <c r="M352" s="40">
        <f>M351-K2*X351</f>
        <v>0.78432585219619044</v>
      </c>
      <c r="N352" s="35">
        <f t="shared" si="120"/>
        <v>-3.1498920463098226</v>
      </c>
      <c r="O352" s="35">
        <f t="shared" si="121"/>
        <v>4.1095532087252314E-2</v>
      </c>
      <c r="P352" s="36">
        <f t="shared" si="122"/>
        <v>0</v>
      </c>
      <c r="Q352" s="36">
        <f t="shared" si="123"/>
        <v>4.1095532087252314E-2</v>
      </c>
      <c r="R352" s="37">
        <f t="shared" si="124"/>
        <v>1.6888427575343845E-3</v>
      </c>
      <c r="T352" s="31">
        <f t="shared" si="125"/>
        <v>3.238877731603613E-3</v>
      </c>
      <c r="U352" s="31">
        <f t="shared" si="126"/>
        <v>1.6842164204338789E-2</v>
      </c>
      <c r="V352" s="31">
        <f t="shared" si="127"/>
        <v>1.1336072060612646E-2</v>
      </c>
      <c r="W352" s="31">
        <f t="shared" si="128"/>
        <v>4.8583165974054199E-3</v>
      </c>
      <c r="X352" s="31">
        <f t="shared" si="129"/>
        <v>6.4777554632072267E-4</v>
      </c>
    </row>
    <row r="353" spans="1:24" ht="14.25" customHeight="1" x14ac:dyDescent="0.3">
      <c r="A353" s="2"/>
      <c r="B353" s="38">
        <v>29</v>
      </c>
      <c r="C353" s="10">
        <v>5.2</v>
      </c>
      <c r="D353" s="11">
        <v>3.4</v>
      </c>
      <c r="E353" s="11">
        <v>1.4</v>
      </c>
      <c r="F353" s="11">
        <v>0.2</v>
      </c>
      <c r="G353" s="39">
        <v>0</v>
      </c>
      <c r="I353" s="38">
        <f>I352-K2*T352</f>
        <v>0.26364142374296795</v>
      </c>
      <c r="J353" s="40">
        <f>J352-K2*U352</f>
        <v>-0.72583110270505047</v>
      </c>
      <c r="K353" s="40">
        <f>K352-K2*V352</f>
        <v>-0.38366488763022116</v>
      </c>
      <c r="L353" s="40">
        <f>L352-K2*W352</f>
        <v>1.0219813429398441</v>
      </c>
      <c r="M353" s="40">
        <f>M352-K2*X352</f>
        <v>0.78426107464155836</v>
      </c>
      <c r="N353" s="35">
        <f t="shared" si="120"/>
        <v>-3.2275148332219534</v>
      </c>
      <c r="O353" s="35">
        <f t="shared" si="121"/>
        <v>3.8143319301202766E-2</v>
      </c>
      <c r="P353" s="36">
        <f t="shared" si="122"/>
        <v>0</v>
      </c>
      <c r="Q353" s="36">
        <f t="shared" si="123"/>
        <v>3.8143319301202766E-2</v>
      </c>
      <c r="R353" s="37">
        <f t="shared" si="124"/>
        <v>1.4549128073135075E-3</v>
      </c>
      <c r="T353" s="31">
        <f t="shared" si="125"/>
        <v>2.7988352070974784E-3</v>
      </c>
      <c r="U353" s="31">
        <f t="shared" si="126"/>
        <v>1.4553943076906889E-2</v>
      </c>
      <c r="V353" s="31">
        <f t="shared" si="127"/>
        <v>9.5160397041314272E-3</v>
      </c>
      <c r="W353" s="31">
        <f t="shared" si="128"/>
        <v>3.9183692899364695E-3</v>
      </c>
      <c r="X353" s="31">
        <f t="shared" si="129"/>
        <v>5.5976704141949573E-4</v>
      </c>
    </row>
    <row r="354" spans="1:24" ht="14.25" customHeight="1" x14ac:dyDescent="0.3">
      <c r="A354" s="2"/>
      <c r="B354" s="38">
        <v>30</v>
      </c>
      <c r="C354" s="10">
        <v>4.7</v>
      </c>
      <c r="D354" s="11">
        <v>3.2</v>
      </c>
      <c r="E354" s="11">
        <v>1.6</v>
      </c>
      <c r="F354" s="11">
        <v>0.2</v>
      </c>
      <c r="G354" s="39">
        <v>0</v>
      </c>
      <c r="I354" s="38">
        <f>I353-K2*T353</f>
        <v>0.26336154022225822</v>
      </c>
      <c r="J354" s="40">
        <f>J353-K2*U353</f>
        <v>-0.72728649701274117</v>
      </c>
      <c r="K354" s="40">
        <f>K353-K2*V353</f>
        <v>-0.38461649160063432</v>
      </c>
      <c r="L354" s="40">
        <f>L353-K2*W353</f>
        <v>1.0215895060108504</v>
      </c>
      <c r="M354" s="40">
        <f>M353-K2*X353</f>
        <v>0.78420509793741644</v>
      </c>
      <c r="N354" s="35">
        <f t="shared" si="120"/>
        <v>-2.5942735396548113</v>
      </c>
      <c r="O354" s="35">
        <f t="shared" si="121"/>
        <v>6.9507876144490277E-2</v>
      </c>
      <c r="P354" s="36">
        <f t="shared" si="122"/>
        <v>0</v>
      </c>
      <c r="Q354" s="36">
        <f t="shared" si="123"/>
        <v>6.9507876144490277E-2</v>
      </c>
      <c r="R354" s="37">
        <f t="shared" si="124"/>
        <v>4.8313448461178004E-3</v>
      </c>
      <c r="T354" s="31">
        <f t="shared" si="125"/>
        <v>8.9910566538850458E-3</v>
      </c>
      <c r="U354" s="31">
        <f t="shared" si="126"/>
        <v>4.2257966273259714E-2</v>
      </c>
      <c r="V354" s="31">
        <f t="shared" si="127"/>
        <v>2.8771381292432147E-2</v>
      </c>
      <c r="W354" s="31">
        <f t="shared" si="128"/>
        <v>1.4385690646216073E-2</v>
      </c>
      <c r="X354" s="31">
        <f t="shared" si="129"/>
        <v>1.7982113307770092E-3</v>
      </c>
    </row>
    <row r="355" spans="1:24" ht="14.25" customHeight="1" x14ac:dyDescent="0.3">
      <c r="A355" s="2"/>
      <c r="B355" s="38">
        <v>31</v>
      </c>
      <c r="C355" s="10">
        <v>4.8</v>
      </c>
      <c r="D355" s="11">
        <v>3.1</v>
      </c>
      <c r="E355" s="11">
        <v>1.6</v>
      </c>
      <c r="F355" s="11">
        <v>0.2</v>
      </c>
      <c r="G355" s="39">
        <v>0</v>
      </c>
      <c r="I355" s="38">
        <f>I354-K2*T354</f>
        <v>0.26246243455686974</v>
      </c>
      <c r="J355" s="40">
        <f>J354-K2*U354</f>
        <v>-0.73151229364006709</v>
      </c>
      <c r="K355" s="40">
        <f>K354-K2*V354</f>
        <v>-0.38749362972987755</v>
      </c>
      <c r="L355" s="40">
        <f>L354-K2*W354</f>
        <v>1.0201509369462287</v>
      </c>
      <c r="M355" s="40">
        <f>M354-K2*X354</f>
        <v>0.78402527680433876</v>
      </c>
      <c r="N355" s="35">
        <f t="shared" si="120"/>
        <v>-2.6609802726032394</v>
      </c>
      <c r="O355" s="35">
        <f t="shared" si="121"/>
        <v>6.5315462910578631E-2</v>
      </c>
      <c r="P355" s="36">
        <f t="shared" si="122"/>
        <v>0</v>
      </c>
      <c r="Q355" s="36">
        <f t="shared" si="123"/>
        <v>6.5315462910578631E-2</v>
      </c>
      <c r="R355" s="37">
        <f t="shared" si="124"/>
        <v>4.266109695223173E-3</v>
      </c>
      <c r="T355" s="31">
        <f t="shared" si="125"/>
        <v>7.9749335313047277E-3</v>
      </c>
      <c r="U355" s="31">
        <f t="shared" si="126"/>
        <v>3.8279680950262691E-2</v>
      </c>
      <c r="V355" s="31">
        <f t="shared" si="127"/>
        <v>2.4722293947044657E-2</v>
      </c>
      <c r="W355" s="31">
        <f t="shared" si="128"/>
        <v>1.2759893650087565E-2</v>
      </c>
      <c r="X355" s="31">
        <f t="shared" si="129"/>
        <v>1.5949867062609456E-3</v>
      </c>
    </row>
    <row r="356" spans="1:24" ht="14.25" customHeight="1" x14ac:dyDescent="0.3">
      <c r="A356" s="2"/>
      <c r="B356" s="38">
        <v>32</v>
      </c>
      <c r="C356" s="10">
        <v>5.4</v>
      </c>
      <c r="D356" s="11">
        <v>3.4</v>
      </c>
      <c r="E356" s="11">
        <v>1.5</v>
      </c>
      <c r="F356" s="11">
        <v>0.4</v>
      </c>
      <c r="G356" s="39">
        <v>0</v>
      </c>
      <c r="I356" s="38">
        <f>I355-K2*T355</f>
        <v>0.26166494120373929</v>
      </c>
      <c r="J356" s="40">
        <f>J355-K2*U355</f>
        <v>-0.73534026173509337</v>
      </c>
      <c r="K356" s="40">
        <f>K355-K2*V355</f>
        <v>-0.38996585912458204</v>
      </c>
      <c r="L356" s="40">
        <f>L355-K2*W355</f>
        <v>1.01887494758122</v>
      </c>
      <c r="M356" s="40">
        <f>M355-K2*X355</f>
        <v>0.78386577813371261</v>
      </c>
      <c r="N356" s="35">
        <f t="shared" si="120"/>
        <v>-3.193197660564028</v>
      </c>
      <c r="O356" s="35">
        <f t="shared" si="121"/>
        <v>3.9422510839217696E-2</v>
      </c>
      <c r="P356" s="36">
        <f t="shared" si="122"/>
        <v>0</v>
      </c>
      <c r="Q356" s="36">
        <f t="shared" si="123"/>
        <v>3.9422510839217696E-2</v>
      </c>
      <c r="R356" s="37">
        <f t="shared" si="124"/>
        <v>1.5541343608682368E-3</v>
      </c>
      <c r="T356" s="31">
        <f t="shared" si="125"/>
        <v>2.9857329643626159E-3</v>
      </c>
      <c r="U356" s="31">
        <f t="shared" si="126"/>
        <v>1.6122958007558127E-2</v>
      </c>
      <c r="V356" s="31">
        <f t="shared" si="127"/>
        <v>1.0151492078832893E-2</v>
      </c>
      <c r="W356" s="31">
        <f t="shared" si="128"/>
        <v>4.478599446543924E-3</v>
      </c>
      <c r="X356" s="31">
        <f t="shared" si="129"/>
        <v>1.1942931857450464E-3</v>
      </c>
    </row>
    <row r="357" spans="1:24" ht="14.25" customHeight="1" x14ac:dyDescent="0.3">
      <c r="A357" s="2"/>
      <c r="B357" s="38">
        <v>33</v>
      </c>
      <c r="C357" s="10">
        <v>5.2</v>
      </c>
      <c r="D357" s="11">
        <v>4.0999999999999996</v>
      </c>
      <c r="E357" s="11">
        <v>1.5</v>
      </c>
      <c r="F357" s="11">
        <v>0.1</v>
      </c>
      <c r="G357" s="39">
        <v>0</v>
      </c>
      <c r="I357" s="38">
        <f>I356-K2*T356</f>
        <v>0.261366367907303</v>
      </c>
      <c r="J357" s="40">
        <f>J356-K2*U356</f>
        <v>-0.73695255753584921</v>
      </c>
      <c r="K357" s="40">
        <f>K356-K2*V356</f>
        <v>-0.39098100833246535</v>
      </c>
      <c r="L357" s="40">
        <f>L356-K2*W356</f>
        <v>1.0184270876365655</v>
      </c>
      <c r="M357" s="40">
        <f>M356-K2*X356</f>
        <v>0.78374634881513805</v>
      </c>
      <c r="N357" s="35">
        <f t="shared" ref="N357:N388" si="130">I357+J357*C357+K357*D357+L357*E357+F357*M357</f>
        <v>-3.5677937991058588</v>
      </c>
      <c r="O357" s="35">
        <f t="shared" ref="O357:O388" si="131">1/(1+EXP(-N357))</f>
        <v>2.7443634163157555E-2</v>
      </c>
      <c r="P357" s="36">
        <f t="shared" ref="P357:P388" si="132">IF(O357&gt;0.5,1,0)</f>
        <v>0</v>
      </c>
      <c r="Q357" s="36">
        <f t="shared" ref="Q357:Q388" si="133">O357-G357</f>
        <v>2.7443634163157555E-2</v>
      </c>
      <c r="R357" s="37">
        <f t="shared" ref="R357:R388" si="134">Q357^2</f>
        <v>7.5315305608122842E-4</v>
      </c>
      <c r="T357" s="31">
        <f t="shared" ref="T357:T388" si="135">2*(O357-G357)*(1-O357)*O357</f>
        <v>1.4649675982825422E-3</v>
      </c>
      <c r="U357" s="31">
        <f t="shared" ref="U357:U388" si="136">2*(O357-G357)*(1-O357)*O357*C357</f>
        <v>7.6178315110692193E-3</v>
      </c>
      <c r="V357" s="31">
        <f t="shared" ref="V357:V388" si="137">2*(O357-G357)*(1-O357)*O357*D357</f>
        <v>6.0063671529584223E-3</v>
      </c>
      <c r="W357" s="31">
        <f t="shared" ref="W357:W388" si="138">2*(O357-G357)*(1-O357)*O357*E357</f>
        <v>2.197451397423813E-3</v>
      </c>
      <c r="X357" s="31">
        <f t="shared" ref="X357:X388" si="139">2*(O357-G357)*(1-O357)*O357*F357</f>
        <v>1.4649675982825422E-4</v>
      </c>
    </row>
    <row r="358" spans="1:24" ht="14.25" customHeight="1" x14ac:dyDescent="0.3">
      <c r="A358" s="2"/>
      <c r="B358" s="38">
        <v>34</v>
      </c>
      <c r="C358" s="10">
        <v>5.5</v>
      </c>
      <c r="D358" s="11">
        <v>4.2</v>
      </c>
      <c r="E358" s="11">
        <v>1.4</v>
      </c>
      <c r="F358" s="11">
        <v>0.2</v>
      </c>
      <c r="G358" s="39">
        <v>0</v>
      </c>
      <c r="I358" s="38">
        <f>I357-K2*T357</f>
        <v>0.26121987114747475</v>
      </c>
      <c r="J358" s="40">
        <f>J357-K2*U357</f>
        <v>-0.73771434068695618</v>
      </c>
      <c r="K358" s="40">
        <f>K357-K2*V357</f>
        <v>-0.39158164504776122</v>
      </c>
      <c r="L358" s="40">
        <f>L357-K2*W357</f>
        <v>1.0182073424968232</v>
      </c>
      <c r="M358" s="40">
        <f>M357-K2*X357</f>
        <v>0.78373169913915519</v>
      </c>
      <c r="N358" s="35">
        <f t="shared" si="130"/>
        <v>-3.8586152925079995</v>
      </c>
      <c r="O358" s="35">
        <f t="shared" si="131"/>
        <v>2.0661297374087662E-2</v>
      </c>
      <c r="P358" s="36">
        <f t="shared" si="132"/>
        <v>0</v>
      </c>
      <c r="Q358" s="36">
        <f t="shared" si="133"/>
        <v>2.0661297374087662E-2</v>
      </c>
      <c r="R358" s="37">
        <f t="shared" si="134"/>
        <v>4.268892091804817E-4</v>
      </c>
      <c r="T358" s="31">
        <f t="shared" si="135"/>
        <v>8.3613824856762931E-4</v>
      </c>
      <c r="U358" s="31">
        <f t="shared" si="136"/>
        <v>4.5987603671219617E-3</v>
      </c>
      <c r="V358" s="31">
        <f t="shared" si="137"/>
        <v>3.5117806439840431E-3</v>
      </c>
      <c r="W358" s="31">
        <f t="shared" si="138"/>
        <v>1.170593547994681E-3</v>
      </c>
      <c r="X358" s="31">
        <f t="shared" si="139"/>
        <v>1.6722764971352586E-4</v>
      </c>
    </row>
    <row r="359" spans="1:24" ht="14.25" customHeight="1" x14ac:dyDescent="0.3">
      <c r="A359" s="2"/>
      <c r="B359" s="38">
        <v>35</v>
      </c>
      <c r="C359" s="10">
        <v>4.9000000000000004</v>
      </c>
      <c r="D359" s="11">
        <v>3.1</v>
      </c>
      <c r="E359" s="11">
        <v>1.5</v>
      </c>
      <c r="F359" s="11">
        <v>0.1</v>
      </c>
      <c r="G359" s="39">
        <v>0</v>
      </c>
      <c r="I359" s="38">
        <f>I358-K2*T358</f>
        <v>0.26113625732261797</v>
      </c>
      <c r="J359" s="40">
        <f>J358-K2*U358</f>
        <v>-0.73817421672366834</v>
      </c>
      <c r="K359" s="40">
        <f>K358-K2*V358</f>
        <v>-0.3919328231121596</v>
      </c>
      <c r="L359" s="40">
        <f>L358-K2*W358</f>
        <v>1.0180902831420238</v>
      </c>
      <c r="M359" s="40">
        <f>M358-K2*X358</f>
        <v>0.78371497637418386</v>
      </c>
      <c r="N359" s="35">
        <f t="shared" si="130"/>
        <v>-2.9654022339205981</v>
      </c>
      <c r="O359" s="35">
        <f t="shared" si="131"/>
        <v>4.9013586816731597E-2</v>
      </c>
      <c r="P359" s="36">
        <f t="shared" si="132"/>
        <v>0</v>
      </c>
      <c r="Q359" s="36">
        <f t="shared" si="133"/>
        <v>4.9013586816731597E-2</v>
      </c>
      <c r="R359" s="37">
        <f t="shared" si="134"/>
        <v>2.4023316926412852E-3</v>
      </c>
      <c r="T359" s="31">
        <f t="shared" si="135"/>
        <v>4.5691695993228523E-3</v>
      </c>
      <c r="U359" s="31">
        <f t="shared" si="136"/>
        <v>2.2388931036681978E-2</v>
      </c>
      <c r="V359" s="31">
        <f t="shared" si="137"/>
        <v>1.4164425757900842E-2</v>
      </c>
      <c r="W359" s="31">
        <f t="shared" si="138"/>
        <v>6.853754398984278E-3</v>
      </c>
      <c r="X359" s="31">
        <f t="shared" si="139"/>
        <v>4.5691695993228527E-4</v>
      </c>
    </row>
    <row r="360" spans="1:24" ht="14.25" customHeight="1" x14ac:dyDescent="0.3">
      <c r="A360" s="2"/>
      <c r="B360" s="38">
        <v>36</v>
      </c>
      <c r="C360" s="10">
        <v>5</v>
      </c>
      <c r="D360" s="11">
        <v>3.2</v>
      </c>
      <c r="E360" s="11">
        <v>1.2</v>
      </c>
      <c r="F360" s="11">
        <v>0.2</v>
      </c>
      <c r="G360" s="39">
        <v>0</v>
      </c>
      <c r="I360" s="38">
        <f>I359-K2*T359</f>
        <v>0.2606793403626857</v>
      </c>
      <c r="J360" s="40">
        <f>J359-K2*U359</f>
        <v>-0.74041310982733655</v>
      </c>
      <c r="K360" s="40">
        <f>K359-K2*V359</f>
        <v>-0.3933492656879497</v>
      </c>
      <c r="L360" s="40">
        <f>L359-K2*W359</f>
        <v>1.0174049077021254</v>
      </c>
      <c r="M360" s="40">
        <f>M359-K2*X359</f>
        <v>0.78366928467819064</v>
      </c>
      <c r="N360" s="35">
        <f t="shared" si="130"/>
        <v>-3.3224841127972482</v>
      </c>
      <c r="O360" s="35">
        <f t="shared" si="131"/>
        <v>3.4807855101129659E-2</v>
      </c>
      <c r="P360" s="36">
        <f t="shared" si="132"/>
        <v>0</v>
      </c>
      <c r="Q360" s="36">
        <f t="shared" si="133"/>
        <v>3.4807855101129659E-2</v>
      </c>
      <c r="R360" s="37">
        <f t="shared" si="134"/>
        <v>1.2115867767412379E-3</v>
      </c>
      <c r="T360" s="31">
        <f t="shared" si="135"/>
        <v>2.3388280795479683E-3</v>
      </c>
      <c r="U360" s="31">
        <f t="shared" si="136"/>
        <v>1.1694140397739841E-2</v>
      </c>
      <c r="V360" s="31">
        <f t="shared" si="137"/>
        <v>7.4842498545534993E-3</v>
      </c>
      <c r="W360" s="31">
        <f t="shared" si="138"/>
        <v>2.8065936954575618E-3</v>
      </c>
      <c r="X360" s="31">
        <f t="shared" si="139"/>
        <v>4.677656159095937E-4</v>
      </c>
    </row>
    <row r="361" spans="1:24" ht="14.25" customHeight="1" x14ac:dyDescent="0.3">
      <c r="A361" s="2"/>
      <c r="B361" s="38">
        <v>37</v>
      </c>
      <c r="C361" s="10">
        <v>5.5</v>
      </c>
      <c r="D361" s="11">
        <v>3.5</v>
      </c>
      <c r="E361" s="11">
        <v>1.3</v>
      </c>
      <c r="F361" s="11">
        <v>0.2</v>
      </c>
      <c r="G361" s="39">
        <v>0</v>
      </c>
      <c r="I361" s="38">
        <f>I360-K2*T360</f>
        <v>0.26044545755473092</v>
      </c>
      <c r="J361" s="40">
        <f>J360-K2*U360</f>
        <v>-0.74158252386711054</v>
      </c>
      <c r="K361" s="40">
        <f>K360-K2*V360</f>
        <v>-0.39409769067340505</v>
      </c>
      <c r="L361" s="40">
        <f>L360-K2*W360</f>
        <v>1.0171242483325798</v>
      </c>
      <c r="M361" s="40">
        <f>M360-K2*X360</f>
        <v>0.78362250811659973</v>
      </c>
      <c r="N361" s="35">
        <f t="shared" si="130"/>
        <v>-3.7186143166156218</v>
      </c>
      <c r="O361" s="35">
        <f t="shared" si="131"/>
        <v>2.3692609625530572E-2</v>
      </c>
      <c r="P361" s="36">
        <f t="shared" si="132"/>
        <v>0</v>
      </c>
      <c r="Q361" s="36">
        <f t="shared" si="133"/>
        <v>2.3692609625530572E-2</v>
      </c>
      <c r="R361" s="37">
        <f t="shared" si="134"/>
        <v>5.6133975086778386E-4</v>
      </c>
      <c r="T361" s="31">
        <f t="shared" si="135"/>
        <v>1.0960802945663619E-3</v>
      </c>
      <c r="U361" s="31">
        <f t="shared" si="136"/>
        <v>6.0284416201149904E-3</v>
      </c>
      <c r="V361" s="31">
        <f t="shared" si="137"/>
        <v>3.8362810309822666E-3</v>
      </c>
      <c r="W361" s="31">
        <f t="shared" si="138"/>
        <v>1.4249043829362704E-3</v>
      </c>
      <c r="X361" s="31">
        <f t="shared" si="139"/>
        <v>2.192160589132724E-4</v>
      </c>
    </row>
    <row r="362" spans="1:24" ht="14.25" customHeight="1" x14ac:dyDescent="0.3">
      <c r="A362" s="2"/>
      <c r="B362" s="38">
        <v>38</v>
      </c>
      <c r="C362" s="10">
        <v>4.9000000000000004</v>
      </c>
      <c r="D362" s="11">
        <v>3.1</v>
      </c>
      <c r="E362" s="11">
        <v>1.5</v>
      </c>
      <c r="F362" s="11">
        <v>0.1</v>
      </c>
      <c r="G362" s="39">
        <v>0</v>
      </c>
      <c r="I362" s="38">
        <f>I361-K2*T361</f>
        <v>0.26033584952527428</v>
      </c>
      <c r="J362" s="40">
        <f>J361-K2*U361</f>
        <v>-0.74218536802912205</v>
      </c>
      <c r="K362" s="40">
        <f>K361-K2*V361</f>
        <v>-0.39448131877650328</v>
      </c>
      <c r="L362" s="40">
        <f>L361-K2*W361</f>
        <v>1.0169817578942861</v>
      </c>
      <c r="M362" s="40">
        <f>M361-K2*X361</f>
        <v>0.78360058651070841</v>
      </c>
      <c r="N362" s="35">
        <f t="shared" si="130"/>
        <v>-2.9954318465320844</v>
      </c>
      <c r="O362" s="35">
        <f t="shared" si="131"/>
        <v>4.7632674279159654E-2</v>
      </c>
      <c r="P362" s="36">
        <f t="shared" si="132"/>
        <v>0</v>
      </c>
      <c r="Q362" s="36">
        <f t="shared" si="133"/>
        <v>4.7632674279159654E-2</v>
      </c>
      <c r="R362" s="37">
        <f t="shared" si="134"/>
        <v>2.2688716589845176E-3</v>
      </c>
      <c r="T362" s="31">
        <f t="shared" si="135"/>
        <v>4.3215984685417829E-3</v>
      </c>
      <c r="U362" s="31">
        <f t="shared" si="136"/>
        <v>2.1175832495854738E-2</v>
      </c>
      <c r="V362" s="31">
        <f t="shared" si="137"/>
        <v>1.3396955252479527E-2</v>
      </c>
      <c r="W362" s="31">
        <f t="shared" si="138"/>
        <v>6.4823977028126744E-3</v>
      </c>
      <c r="X362" s="31">
        <f t="shared" si="139"/>
        <v>4.321598468541783E-4</v>
      </c>
    </row>
    <row r="363" spans="1:24" ht="14.25" customHeight="1" x14ac:dyDescent="0.3">
      <c r="A363" s="2"/>
      <c r="B363" s="38">
        <v>39</v>
      </c>
      <c r="C363" s="10">
        <v>4.4000000000000004</v>
      </c>
      <c r="D363" s="11">
        <v>3</v>
      </c>
      <c r="E363" s="11">
        <v>1.3</v>
      </c>
      <c r="F363" s="11">
        <v>0.2</v>
      </c>
      <c r="G363" s="39">
        <v>0</v>
      </c>
      <c r="I363" s="38">
        <f>I362-K2*T362</f>
        <v>0.25990368967842009</v>
      </c>
      <c r="J363" s="40">
        <f>J362-K2*U362</f>
        <v>-0.74430295127870749</v>
      </c>
      <c r="K363" s="40">
        <f>K362-K2*V362</f>
        <v>-0.39582101430175121</v>
      </c>
      <c r="L363" s="40">
        <f>L362-K2*W362</f>
        <v>1.016333518124005</v>
      </c>
      <c r="M363" s="40">
        <f>M362-K2*X362</f>
        <v>0.78355737052602303</v>
      </c>
      <c r="N363" s="35">
        <f t="shared" si="130"/>
        <v>-2.7245472911867359</v>
      </c>
      <c r="O363" s="35">
        <f t="shared" si="131"/>
        <v>6.1540321847687485E-2</v>
      </c>
      <c r="P363" s="36">
        <f t="shared" si="132"/>
        <v>0</v>
      </c>
      <c r="Q363" s="36">
        <f t="shared" si="133"/>
        <v>6.1540321847687485E-2</v>
      </c>
      <c r="R363" s="37">
        <f t="shared" si="134"/>
        <v>3.7872112131169615E-3</v>
      </c>
      <c r="T363" s="31">
        <f t="shared" si="135"/>
        <v>7.108290032313145E-3</v>
      </c>
      <c r="U363" s="31">
        <f t="shared" si="136"/>
        <v>3.1276476142177843E-2</v>
      </c>
      <c r="V363" s="31">
        <f t="shared" si="137"/>
        <v>2.1324870096939435E-2</v>
      </c>
      <c r="W363" s="31">
        <f t="shared" si="138"/>
        <v>9.2407770420070891E-3</v>
      </c>
      <c r="X363" s="31">
        <f t="shared" si="139"/>
        <v>1.4216580064626292E-3</v>
      </c>
    </row>
    <row r="364" spans="1:24" ht="14.25" customHeight="1" x14ac:dyDescent="0.3">
      <c r="A364" s="2"/>
      <c r="B364" s="38">
        <v>40</v>
      </c>
      <c r="C364" s="10">
        <v>5.0999999999999996</v>
      </c>
      <c r="D364" s="11">
        <v>3.4</v>
      </c>
      <c r="E364" s="11">
        <v>1.5</v>
      </c>
      <c r="F364" s="11">
        <v>0.2</v>
      </c>
      <c r="G364" s="39">
        <v>0</v>
      </c>
      <c r="I364" s="38">
        <f>I363-K2*T363</f>
        <v>0.25919286067518876</v>
      </c>
      <c r="J364" s="40">
        <f>J363-K2*U363</f>
        <v>-0.74743059889292529</v>
      </c>
      <c r="K364" s="40">
        <f>K363-K2*V363</f>
        <v>-0.39795350131144513</v>
      </c>
      <c r="L364" s="40">
        <f>L363-K2*W363</f>
        <v>1.0154094404198042</v>
      </c>
      <c r="M364" s="40">
        <f>M363-K2*X363</f>
        <v>0.78341520472537673</v>
      </c>
      <c r="N364" s="35">
        <f t="shared" si="130"/>
        <v>-3.2259478965628614</v>
      </c>
      <c r="O364" s="35">
        <f t="shared" si="131"/>
        <v>3.820084933302411E-2</v>
      </c>
      <c r="P364" s="36">
        <f t="shared" si="132"/>
        <v>0</v>
      </c>
      <c r="Q364" s="36">
        <f t="shared" si="133"/>
        <v>3.820084933302411E-2</v>
      </c>
      <c r="R364" s="37">
        <f t="shared" si="134"/>
        <v>1.4593048897644087E-3</v>
      </c>
      <c r="T364" s="31">
        <f t="shared" si="135"/>
        <v>2.8071164070791461E-3</v>
      </c>
      <c r="U364" s="31">
        <f t="shared" si="136"/>
        <v>1.4316293676103644E-2</v>
      </c>
      <c r="V364" s="31">
        <f t="shared" si="137"/>
        <v>9.5441957840690962E-3</v>
      </c>
      <c r="W364" s="31">
        <f t="shared" si="138"/>
        <v>4.210674610618719E-3</v>
      </c>
      <c r="X364" s="31">
        <f t="shared" si="139"/>
        <v>5.6142328141582925E-4</v>
      </c>
    </row>
    <row r="365" spans="1:24" ht="14.25" customHeight="1" x14ac:dyDescent="0.3">
      <c r="A365" s="2"/>
      <c r="B365" s="38">
        <v>41</v>
      </c>
      <c r="C365" s="10">
        <v>7</v>
      </c>
      <c r="D365" s="11">
        <v>3.2</v>
      </c>
      <c r="E365" s="11">
        <v>4.7</v>
      </c>
      <c r="F365" s="11">
        <v>1.4</v>
      </c>
      <c r="G365" s="39">
        <v>1</v>
      </c>
      <c r="I365" s="38">
        <f>I364-K2*T364</f>
        <v>0.25891214903448084</v>
      </c>
      <c r="J365" s="40">
        <f>J364-K2*U364</f>
        <v>-0.74886222826053561</v>
      </c>
      <c r="K365" s="40">
        <f>K364-K2*V364</f>
        <v>-0.39890792088985205</v>
      </c>
      <c r="L365" s="40">
        <f>L364-K2*W364</f>
        <v>1.0149883729587423</v>
      </c>
      <c r="M365" s="40">
        <f>M364-K2*X364</f>
        <v>0.78335906239723518</v>
      </c>
      <c r="N365" s="35">
        <f t="shared" si="130"/>
        <v>-0.39248075537457683</v>
      </c>
      <c r="O365" s="35">
        <f t="shared" si="131"/>
        <v>0.40312025226395315</v>
      </c>
      <c r="P365" s="36">
        <f t="shared" si="132"/>
        <v>0</v>
      </c>
      <c r="Q365" s="36">
        <f t="shared" si="133"/>
        <v>-0.5968797477360468</v>
      </c>
      <c r="R365" s="37">
        <f t="shared" si="134"/>
        <v>0.35626543325744686</v>
      </c>
      <c r="T365" s="31">
        <f t="shared" si="135"/>
        <v>-0.28723562265533709</v>
      </c>
      <c r="U365" s="31">
        <f t="shared" si="136"/>
        <v>-2.0106493585873597</v>
      </c>
      <c r="V365" s="31">
        <f t="shared" si="137"/>
        <v>-0.91915399249707874</v>
      </c>
      <c r="W365" s="31">
        <f t="shared" si="138"/>
        <v>-1.3500074264800843</v>
      </c>
      <c r="X365" s="31">
        <f t="shared" si="139"/>
        <v>-0.40212987171747189</v>
      </c>
    </row>
    <row r="366" spans="1:24" ht="14.25" customHeight="1" x14ac:dyDescent="0.3">
      <c r="A366" s="2"/>
      <c r="B366" s="38">
        <v>42</v>
      </c>
      <c r="C366" s="10">
        <v>6.4</v>
      </c>
      <c r="D366" s="11">
        <v>3.2</v>
      </c>
      <c r="E366" s="11">
        <v>4.5</v>
      </c>
      <c r="F366" s="11">
        <v>1.5</v>
      </c>
      <c r="G366" s="39">
        <v>1</v>
      </c>
      <c r="I366" s="38">
        <f>I365-K2*T365</f>
        <v>0.28763571130001453</v>
      </c>
      <c r="J366" s="40">
        <f>J365-K2*U365</f>
        <v>-0.54779729240179964</v>
      </c>
      <c r="K366" s="40">
        <f>K365-K2*V365</f>
        <v>-0.30699252164014418</v>
      </c>
      <c r="L366" s="40">
        <f>L365-K2*W365</f>
        <v>1.1499891156067508</v>
      </c>
      <c r="M366" s="40">
        <f>M365-K2*X365</f>
        <v>0.82357204956898233</v>
      </c>
      <c r="N366" s="35">
        <f t="shared" si="130"/>
        <v>2.2096660652638871</v>
      </c>
      <c r="O366" s="35">
        <f t="shared" si="131"/>
        <v>0.90111417474488853</v>
      </c>
      <c r="P366" s="36">
        <f t="shared" si="132"/>
        <v>1</v>
      </c>
      <c r="Q366" s="36">
        <f t="shared" si="133"/>
        <v>-9.888582525511147E-2</v>
      </c>
      <c r="R366" s="37">
        <f t="shared" si="134"/>
        <v>9.7784064363844406E-3</v>
      </c>
      <c r="T366" s="31">
        <f t="shared" si="135"/>
        <v>-1.7622921292485345E-2</v>
      </c>
      <c r="U366" s="31">
        <f t="shared" si="136"/>
        <v>-0.11278669627190621</v>
      </c>
      <c r="V366" s="31">
        <f t="shared" si="137"/>
        <v>-5.6393348135953106E-2</v>
      </c>
      <c r="W366" s="31">
        <f t="shared" si="138"/>
        <v>-7.9303145816184056E-2</v>
      </c>
      <c r="X366" s="31">
        <f t="shared" si="139"/>
        <v>-2.6434381938728019E-2</v>
      </c>
    </row>
    <row r="367" spans="1:24" ht="14.25" customHeight="1" x14ac:dyDescent="0.3">
      <c r="A367" s="2"/>
      <c r="B367" s="38">
        <v>43</v>
      </c>
      <c r="C367" s="10">
        <v>6.9</v>
      </c>
      <c r="D367" s="11">
        <v>3.1</v>
      </c>
      <c r="E367" s="11">
        <v>4.9000000000000004</v>
      </c>
      <c r="F367" s="11">
        <v>1.5</v>
      </c>
      <c r="G367" s="39">
        <v>1</v>
      </c>
      <c r="I367" s="38">
        <f>I366-K2*T366</f>
        <v>0.28939800342926308</v>
      </c>
      <c r="J367" s="40">
        <f>J366-K2*U366</f>
        <v>-0.53651862277460904</v>
      </c>
      <c r="K367" s="40">
        <f>K366-K2*V366</f>
        <v>-0.30135318682654888</v>
      </c>
      <c r="L367" s="40">
        <f>L366-K2*W366</f>
        <v>1.1579194301883691</v>
      </c>
      <c r="M367" s="40">
        <f>M366-K2*X366</f>
        <v>0.82621548776285514</v>
      </c>
      <c r="N367" s="35">
        <f t="shared" si="130"/>
        <v>2.5663530666894503</v>
      </c>
      <c r="O367" s="35">
        <f t="shared" si="131"/>
        <v>0.92866447574300903</v>
      </c>
      <c r="P367" s="36">
        <f t="shared" si="132"/>
        <v>1</v>
      </c>
      <c r="Q367" s="36">
        <f t="shared" si="133"/>
        <v>-7.1335524256990968E-2</v>
      </c>
      <c r="R367" s="37">
        <f t="shared" si="134"/>
        <v>5.0887570210197469E-3</v>
      </c>
      <c r="T367" s="31">
        <f t="shared" si="135"/>
        <v>-9.4514957422177186E-3</v>
      </c>
      <c r="U367" s="31">
        <f t="shared" si="136"/>
        <v>-6.5215320621302267E-2</v>
      </c>
      <c r="V367" s="31">
        <f t="shared" si="137"/>
        <v>-2.9299636800874929E-2</v>
      </c>
      <c r="W367" s="31">
        <f t="shared" si="138"/>
        <v>-4.6312329136866823E-2</v>
      </c>
      <c r="X367" s="31">
        <f t="shared" si="139"/>
        <v>-1.4177243613326578E-2</v>
      </c>
    </row>
    <row r="368" spans="1:24" ht="14.25" customHeight="1" x14ac:dyDescent="0.3">
      <c r="A368" s="2"/>
      <c r="B368" s="38">
        <v>44</v>
      </c>
      <c r="C368" s="10">
        <v>5.5</v>
      </c>
      <c r="D368" s="11">
        <v>2.2999999999999998</v>
      </c>
      <c r="E368" s="11">
        <v>4</v>
      </c>
      <c r="F368" s="11">
        <v>1.3</v>
      </c>
      <c r="G368" s="39">
        <v>1</v>
      </c>
      <c r="I368" s="38">
        <f>I367-K2*T367</f>
        <v>0.29034315300348484</v>
      </c>
      <c r="J368" s="40">
        <f>J367-K2*U367</f>
        <v>-0.5299970907124788</v>
      </c>
      <c r="K368" s="40">
        <f>K367-K2*V367</f>
        <v>-0.29842322314646141</v>
      </c>
      <c r="L368" s="40">
        <f>L367-K2*W367</f>
        <v>1.1625506631020557</v>
      </c>
      <c r="M368" s="40">
        <f>M367-K2*X367</f>
        <v>0.82763321212418783</v>
      </c>
      <c r="N368" s="35">
        <f t="shared" si="130"/>
        <v>2.4151115690176574</v>
      </c>
      <c r="O368" s="35">
        <f t="shared" si="131"/>
        <v>0.91797240152153636</v>
      </c>
      <c r="P368" s="36">
        <f t="shared" si="132"/>
        <v>1</v>
      </c>
      <c r="Q368" s="36">
        <f t="shared" si="133"/>
        <v>-8.2027598478463637E-2</v>
      </c>
      <c r="R368" s="37">
        <f t="shared" si="134"/>
        <v>6.7285269121440498E-3</v>
      </c>
      <c r="T368" s="31">
        <f t="shared" si="135"/>
        <v>-1.2353204016486322E-2</v>
      </c>
      <c r="U368" s="31">
        <f t="shared" si="136"/>
        <v>-6.7942622090674767E-2</v>
      </c>
      <c r="V368" s="31">
        <f t="shared" si="137"/>
        <v>-2.8412369237918539E-2</v>
      </c>
      <c r="W368" s="31">
        <f t="shared" si="138"/>
        <v>-4.9412816065945289E-2</v>
      </c>
      <c r="X368" s="31">
        <f t="shared" si="139"/>
        <v>-1.605916522143222E-2</v>
      </c>
    </row>
    <row r="369" spans="1:24" ht="14.25" customHeight="1" x14ac:dyDescent="0.3">
      <c r="A369" s="2"/>
      <c r="B369" s="38">
        <v>45</v>
      </c>
      <c r="C369" s="10">
        <v>6.5</v>
      </c>
      <c r="D369" s="11">
        <v>2.8</v>
      </c>
      <c r="E369" s="11">
        <v>4.5999999999999996</v>
      </c>
      <c r="F369" s="11">
        <v>1.5</v>
      </c>
      <c r="G369" s="39">
        <v>1</v>
      </c>
      <c r="I369" s="38">
        <f>I368-K2*T368</f>
        <v>0.29157847340513349</v>
      </c>
      <c r="J369" s="40">
        <f>J368-K2*U368</f>
        <v>-0.52320282850341138</v>
      </c>
      <c r="K369" s="40">
        <f>K368-K2*V368</f>
        <v>-0.29558198622266957</v>
      </c>
      <c r="L369" s="40">
        <f>L368-K2*W368</f>
        <v>1.1674919447086503</v>
      </c>
      <c r="M369" s="40">
        <f>M368-K2*X368</f>
        <v>0.82923912864633109</v>
      </c>
      <c r="N369" s="35">
        <f t="shared" si="130"/>
        <v>2.6774521653387717</v>
      </c>
      <c r="O369" s="35">
        <f t="shared" si="131"/>
        <v>0.93568296409822471</v>
      </c>
      <c r="P369" s="36">
        <f t="shared" si="132"/>
        <v>1</v>
      </c>
      <c r="Q369" s="36">
        <f t="shared" si="133"/>
        <v>-6.4317035901775288E-2</v>
      </c>
      <c r="R369" s="37">
        <f t="shared" si="134"/>
        <v>4.1366811071902512E-3</v>
      </c>
      <c r="T369" s="31">
        <f t="shared" si="135"/>
        <v>-7.7412440798098007E-3</v>
      </c>
      <c r="U369" s="31">
        <f t="shared" si="136"/>
        <v>-5.0318086518763704E-2</v>
      </c>
      <c r="V369" s="31">
        <f t="shared" si="137"/>
        <v>-2.1675483423467441E-2</v>
      </c>
      <c r="W369" s="31">
        <f t="shared" si="138"/>
        <v>-3.5609722767125082E-2</v>
      </c>
      <c r="X369" s="31">
        <f t="shared" si="139"/>
        <v>-1.1611866119714702E-2</v>
      </c>
    </row>
    <row r="370" spans="1:24" ht="14.25" customHeight="1" x14ac:dyDescent="0.3">
      <c r="A370" s="2"/>
      <c r="B370" s="38">
        <v>46</v>
      </c>
      <c r="C370" s="10">
        <v>5.7</v>
      </c>
      <c r="D370" s="11">
        <v>2.8</v>
      </c>
      <c r="E370" s="11">
        <v>4.5</v>
      </c>
      <c r="F370" s="11">
        <v>1.3</v>
      </c>
      <c r="G370" s="39">
        <v>1</v>
      </c>
      <c r="I370" s="38">
        <f>I369-K2*T369</f>
        <v>0.29235259781311446</v>
      </c>
      <c r="J370" s="40">
        <f>J369-K2*U369</f>
        <v>-0.51817101985153502</v>
      </c>
      <c r="K370" s="40">
        <f>K369-K2*V369</f>
        <v>-0.29341443788032284</v>
      </c>
      <c r="L370" s="40">
        <f>L369-K2*W369</f>
        <v>1.1710529169853627</v>
      </c>
      <c r="M370" s="40">
        <f>M369-K2*X369</f>
        <v>0.8304003152583026</v>
      </c>
      <c r="N370" s="35">
        <f t="shared" si="130"/>
        <v>2.8664758948643865</v>
      </c>
      <c r="O370" s="35">
        <f t="shared" si="131"/>
        <v>0.94616412060437505</v>
      </c>
      <c r="P370" s="36">
        <f t="shared" si="132"/>
        <v>1</v>
      </c>
      <c r="Q370" s="36">
        <f t="shared" si="133"/>
        <v>-5.3835879395624953E-2</v>
      </c>
      <c r="R370" s="37">
        <f t="shared" si="134"/>
        <v>2.8983019103002755E-3</v>
      </c>
      <c r="T370" s="31">
        <f t="shared" si="135"/>
        <v>-5.4845385564104808E-3</v>
      </c>
      <c r="U370" s="31">
        <f t="shared" si="136"/>
        <v>-3.126186977153974E-2</v>
      </c>
      <c r="V370" s="31">
        <f t="shared" si="137"/>
        <v>-1.5356707957949346E-2</v>
      </c>
      <c r="W370" s="31">
        <f t="shared" si="138"/>
        <v>-2.4680423503847165E-2</v>
      </c>
      <c r="X370" s="31">
        <f t="shared" si="139"/>
        <v>-7.1299001233336252E-3</v>
      </c>
    </row>
    <row r="371" spans="1:24" ht="14.25" customHeight="1" x14ac:dyDescent="0.3">
      <c r="A371" s="2"/>
      <c r="B371" s="38">
        <v>47</v>
      </c>
      <c r="C371" s="10">
        <v>6.3</v>
      </c>
      <c r="D371" s="11">
        <v>3.3</v>
      </c>
      <c r="E371" s="11">
        <v>4.7</v>
      </c>
      <c r="F371" s="11">
        <v>1.6</v>
      </c>
      <c r="G371" s="39">
        <v>1</v>
      </c>
      <c r="I371" s="38">
        <f>I370-K2*T370</f>
        <v>0.29290105166875552</v>
      </c>
      <c r="J371" s="40">
        <f>J370-K2*U370</f>
        <v>-0.51504483287438108</v>
      </c>
      <c r="K371" s="40">
        <f>K370-K2*V370</f>
        <v>-0.29187876708452792</v>
      </c>
      <c r="L371" s="40">
        <f>L370-K2*W370</f>
        <v>1.1735209593357474</v>
      </c>
      <c r="M371" s="40">
        <f>M370-K2*X370</f>
        <v>0.83111330527063598</v>
      </c>
      <c r="N371" s="35">
        <f t="shared" si="130"/>
        <v>2.930248470492244</v>
      </c>
      <c r="O371" s="35">
        <f t="shared" si="131"/>
        <v>0.94932163033681072</v>
      </c>
      <c r="P371" s="36">
        <f t="shared" si="132"/>
        <v>1</v>
      </c>
      <c r="Q371" s="36">
        <f t="shared" si="133"/>
        <v>-5.0678369663189282E-2</v>
      </c>
      <c r="R371" s="37">
        <f t="shared" si="134"/>
        <v>2.5682971517188638E-3</v>
      </c>
      <c r="T371" s="31">
        <f t="shared" si="135"/>
        <v>-4.876280078518278E-3</v>
      </c>
      <c r="U371" s="31">
        <f t="shared" si="136"/>
        <v>-3.0720564494665151E-2</v>
      </c>
      <c r="V371" s="31">
        <f t="shared" si="137"/>
        <v>-1.6091724259110318E-2</v>
      </c>
      <c r="W371" s="31">
        <f t="shared" si="138"/>
        <v>-2.2918516369035906E-2</v>
      </c>
      <c r="X371" s="31">
        <f t="shared" si="139"/>
        <v>-7.8020481256292455E-3</v>
      </c>
    </row>
    <row r="372" spans="1:24" ht="14.25" customHeight="1" x14ac:dyDescent="0.3">
      <c r="A372" s="2"/>
      <c r="B372" s="38">
        <v>48</v>
      </c>
      <c r="C372" s="10">
        <v>4.9000000000000004</v>
      </c>
      <c r="D372" s="11">
        <v>2.4</v>
      </c>
      <c r="E372" s="11">
        <v>3.3</v>
      </c>
      <c r="F372" s="11">
        <v>1</v>
      </c>
      <c r="G372" s="39">
        <v>1</v>
      </c>
      <c r="I372" s="38">
        <f>I371-K2*T371</f>
        <v>0.29338867967660737</v>
      </c>
      <c r="J372" s="40">
        <f>J371-K2*U371</f>
        <v>-0.51197277642491457</v>
      </c>
      <c r="K372" s="40">
        <f>K371-K2*V371</f>
        <v>-0.2902695946586169</v>
      </c>
      <c r="L372" s="40">
        <f>L371-K2*W371</f>
        <v>1.1758128109726509</v>
      </c>
      <c r="M372" s="40">
        <f>M371-K2*X371</f>
        <v>0.83189351008319889</v>
      </c>
      <c r="N372" s="35">
        <f t="shared" si="130"/>
        <v>1.8001508343067916</v>
      </c>
      <c r="O372" s="35">
        <f t="shared" si="131"/>
        <v>0.85816729506830924</v>
      </c>
      <c r="P372" s="36">
        <f t="shared" si="132"/>
        <v>1</v>
      </c>
      <c r="Q372" s="36">
        <f t="shared" si="133"/>
        <v>-0.14183270493169076</v>
      </c>
      <c r="R372" s="37">
        <f t="shared" si="134"/>
        <v>2.0116516188240056E-2</v>
      </c>
      <c r="T372" s="31">
        <f t="shared" si="135"/>
        <v>-3.4526672566919651E-2</v>
      </c>
      <c r="U372" s="31">
        <f t="shared" si="136"/>
        <v>-0.1691806955779063</v>
      </c>
      <c r="V372" s="31">
        <f t="shared" si="137"/>
        <v>-8.2864014160607166E-2</v>
      </c>
      <c r="W372" s="31">
        <f t="shared" si="138"/>
        <v>-0.11393801947083484</v>
      </c>
      <c r="X372" s="31">
        <f t="shared" si="139"/>
        <v>-3.4526672566919651E-2</v>
      </c>
    </row>
    <row r="373" spans="1:24" ht="14.25" customHeight="1" x14ac:dyDescent="0.3">
      <c r="A373" s="2"/>
      <c r="B373" s="38">
        <v>49</v>
      </c>
      <c r="C373" s="10">
        <v>6.6</v>
      </c>
      <c r="D373" s="11">
        <v>2.9</v>
      </c>
      <c r="E373" s="11">
        <v>4.5999999999999996</v>
      </c>
      <c r="F373" s="11">
        <v>1.3</v>
      </c>
      <c r="G373" s="39">
        <v>1</v>
      </c>
      <c r="I373" s="38">
        <f>I372-K2*T372</f>
        <v>0.29684134693329933</v>
      </c>
      <c r="J373" s="40">
        <f>J372-K2*U372</f>
        <v>-0.49505470686712394</v>
      </c>
      <c r="K373" s="40">
        <f>K372-K2*V372</f>
        <v>-0.28198319324255616</v>
      </c>
      <c r="L373" s="40">
        <f>L372-K2*W372</f>
        <v>1.1872066129197343</v>
      </c>
      <c r="M373" s="40">
        <f>M372-K2*X372</f>
        <v>0.83534617733989081</v>
      </c>
      <c r="N373" s="35">
        <f t="shared" si="130"/>
        <v>2.7588294711795038</v>
      </c>
      <c r="O373" s="35">
        <f t="shared" si="131"/>
        <v>0.94041007260167109</v>
      </c>
      <c r="P373" s="36">
        <f t="shared" si="132"/>
        <v>1</v>
      </c>
      <c r="Q373" s="36">
        <f t="shared" si="133"/>
        <v>-5.9589927398328912E-2</v>
      </c>
      <c r="R373" s="37">
        <f t="shared" si="134"/>
        <v>3.5509594473381108E-3</v>
      </c>
      <c r="T373" s="31">
        <f t="shared" si="135"/>
        <v>-6.6787160633536456E-3</v>
      </c>
      <c r="U373" s="31">
        <f t="shared" si="136"/>
        <v>-4.4079526018134058E-2</v>
      </c>
      <c r="V373" s="31">
        <f t="shared" si="137"/>
        <v>-1.9368276583725572E-2</v>
      </c>
      <c r="W373" s="31">
        <f t="shared" si="138"/>
        <v>-3.0722093891426768E-2</v>
      </c>
      <c r="X373" s="31">
        <f t="shared" si="139"/>
        <v>-8.6823308823597393E-3</v>
      </c>
    </row>
    <row r="374" spans="1:24" ht="14.25" customHeight="1" x14ac:dyDescent="0.3">
      <c r="A374" s="2"/>
      <c r="B374" s="38">
        <v>50</v>
      </c>
      <c r="C374" s="10">
        <v>5.2</v>
      </c>
      <c r="D374" s="11">
        <v>2.7</v>
      </c>
      <c r="E374" s="11">
        <v>3.9</v>
      </c>
      <c r="F374" s="11">
        <v>1.4</v>
      </c>
      <c r="G374" s="39">
        <v>1</v>
      </c>
      <c r="I374" s="38">
        <f>I373-K2*T373</f>
        <v>0.29750921853963469</v>
      </c>
      <c r="J374" s="40">
        <f>J373-K2*U373</f>
        <v>-0.49064675426531051</v>
      </c>
      <c r="K374" s="40">
        <f>K373-K2*V373</f>
        <v>-0.28004636558418361</v>
      </c>
      <c r="L374" s="40">
        <f>L373-K2*W373</f>
        <v>1.1902788223088769</v>
      </c>
      <c r="M374" s="40">
        <f>M373-K2*X373</f>
        <v>0.83621441042812683</v>
      </c>
      <c r="N374" s="35">
        <f t="shared" si="130"/>
        <v>2.8028084908867221</v>
      </c>
      <c r="O374" s="35">
        <f t="shared" si="131"/>
        <v>0.94282740110606278</v>
      </c>
      <c r="P374" s="36">
        <f t="shared" si="132"/>
        <v>1</v>
      </c>
      <c r="Q374" s="36">
        <f t="shared" si="133"/>
        <v>-5.7172598893937221E-2</v>
      </c>
      <c r="R374" s="37">
        <f t="shared" si="134"/>
        <v>3.2687060642870316E-3</v>
      </c>
      <c r="T374" s="31">
        <f t="shared" si="135"/>
        <v>-6.1636512871427376E-3</v>
      </c>
      <c r="U374" s="31">
        <f t="shared" si="136"/>
        <v>-3.2050986693142235E-2</v>
      </c>
      <c r="V374" s="31">
        <f t="shared" si="137"/>
        <v>-1.6641858475285393E-2</v>
      </c>
      <c r="W374" s="31">
        <f t="shared" si="138"/>
        <v>-2.4038240019856674E-2</v>
      </c>
      <c r="X374" s="31">
        <f t="shared" si="139"/>
        <v>-8.6291118019998312E-3</v>
      </c>
    </row>
    <row r="375" spans="1:24" ht="14.25" customHeight="1" x14ac:dyDescent="0.3">
      <c r="A375" s="2"/>
      <c r="B375" s="38">
        <v>51</v>
      </c>
      <c r="C375" s="10">
        <v>5</v>
      </c>
      <c r="D375" s="11">
        <v>2</v>
      </c>
      <c r="E375" s="11">
        <v>3.5</v>
      </c>
      <c r="F375" s="11">
        <v>1</v>
      </c>
      <c r="G375" s="39">
        <v>1</v>
      </c>
      <c r="I375" s="38">
        <f>I374-K2*T374</f>
        <v>0.29812558366834896</v>
      </c>
      <c r="J375" s="40">
        <f>J374-K2*U374</f>
        <v>-0.48744165559599628</v>
      </c>
      <c r="K375" s="40">
        <f>K374-K2*V374</f>
        <v>-0.27838217973665508</v>
      </c>
      <c r="L375" s="40">
        <f>L374-K2*W374</f>
        <v>1.1926826463108626</v>
      </c>
      <c r="M375" s="40">
        <f>M374-K2*X374</f>
        <v>0.83707732160832682</v>
      </c>
      <c r="N375" s="35">
        <f t="shared" si="130"/>
        <v>2.315619529911404</v>
      </c>
      <c r="O375" s="35">
        <f t="shared" si="131"/>
        <v>0.9101624065985211</v>
      </c>
      <c r="P375" s="36">
        <f t="shared" si="132"/>
        <v>1</v>
      </c>
      <c r="Q375" s="36">
        <f t="shared" si="133"/>
        <v>-8.9837593401478899E-2</v>
      </c>
      <c r="R375" s="37">
        <f t="shared" si="134"/>
        <v>8.070793188169445E-3</v>
      </c>
      <c r="T375" s="31">
        <f t="shared" si="135"/>
        <v>-1.4691465102606506E-2</v>
      </c>
      <c r="U375" s="31">
        <f t="shared" si="136"/>
        <v>-7.3457325513032523E-2</v>
      </c>
      <c r="V375" s="31">
        <f t="shared" si="137"/>
        <v>-2.9382930205213011E-2</v>
      </c>
      <c r="W375" s="31">
        <f t="shared" si="138"/>
        <v>-5.1420127859122769E-2</v>
      </c>
      <c r="X375" s="31">
        <f t="shared" si="139"/>
        <v>-1.4691465102606506E-2</v>
      </c>
    </row>
    <row r="376" spans="1:24" ht="14.25" customHeight="1" x14ac:dyDescent="0.3">
      <c r="A376" s="2"/>
      <c r="B376" s="38">
        <v>52</v>
      </c>
      <c r="C376" s="10">
        <v>5.9</v>
      </c>
      <c r="D376" s="11">
        <v>3</v>
      </c>
      <c r="E376" s="11">
        <v>4.2</v>
      </c>
      <c r="F376" s="11">
        <v>1.5</v>
      </c>
      <c r="G376" s="39">
        <v>1</v>
      </c>
      <c r="I376" s="38">
        <f>I375-K2*T375</f>
        <v>0.2995947301786096</v>
      </c>
      <c r="J376" s="40">
        <f>J375-K2*U375</f>
        <v>-0.48009592304469301</v>
      </c>
      <c r="K376" s="40">
        <f>K375-K2*V375</f>
        <v>-0.27544388671613379</v>
      </c>
      <c r="L376" s="40">
        <f>L375-K2*W375</f>
        <v>1.1978246590967749</v>
      </c>
      <c r="M376" s="40">
        <f>M375-K2*X375</f>
        <v>0.83854646811858746</v>
      </c>
      <c r="N376" s="35">
        <f t="shared" si="130"/>
        <v>2.9293803944508556</v>
      </c>
      <c r="O376" s="35">
        <f t="shared" si="131"/>
        <v>0.94927985084224031</v>
      </c>
      <c r="P376" s="36">
        <f t="shared" si="132"/>
        <v>1</v>
      </c>
      <c r="Q376" s="36">
        <f t="shared" si="133"/>
        <v>-5.0720149157759686E-2</v>
      </c>
      <c r="R376" s="37">
        <f t="shared" si="134"/>
        <v>2.5725335305853904E-3</v>
      </c>
      <c r="T376" s="31">
        <f t="shared" si="135"/>
        <v>-4.8841084924015222E-3</v>
      </c>
      <c r="U376" s="31">
        <f t="shared" si="136"/>
        <v>-2.8816240105168981E-2</v>
      </c>
      <c r="V376" s="31">
        <f t="shared" si="137"/>
        <v>-1.4652325477204567E-2</v>
      </c>
      <c r="W376" s="31">
        <f t="shared" si="138"/>
        <v>-2.0513255668086393E-2</v>
      </c>
      <c r="X376" s="31">
        <f t="shared" si="139"/>
        <v>-7.3261627386022833E-3</v>
      </c>
    </row>
    <row r="377" spans="1:24" ht="14.25" customHeight="1" x14ac:dyDescent="0.3">
      <c r="A377" s="2"/>
      <c r="B377" s="38">
        <v>53</v>
      </c>
      <c r="C377" s="10">
        <v>6</v>
      </c>
      <c r="D377" s="11">
        <v>2.2000000000000002</v>
      </c>
      <c r="E377" s="11">
        <v>4</v>
      </c>
      <c r="F377" s="11">
        <v>1</v>
      </c>
      <c r="G377" s="39">
        <v>1</v>
      </c>
      <c r="I377" s="38">
        <f>I376-K2*T376</f>
        <v>0.30008314102784978</v>
      </c>
      <c r="J377" s="40">
        <f>J376-K2*U376</f>
        <v>-0.47721429903417611</v>
      </c>
      <c r="K377" s="40">
        <f>K376-K2*V376</f>
        <v>-0.27397865416841333</v>
      </c>
      <c r="L377" s="40">
        <f>L376-K2*W376</f>
        <v>1.1998759846635836</v>
      </c>
      <c r="M377" s="40">
        <f>M376-K2*X376</f>
        <v>0.83927908439244769</v>
      </c>
      <c r="N377" s="35">
        <f t="shared" si="130"/>
        <v>2.4728273306990656</v>
      </c>
      <c r="O377" s="35">
        <f t="shared" si="131"/>
        <v>0.92221482469116411</v>
      </c>
      <c r="P377" s="36">
        <f t="shared" si="132"/>
        <v>1</v>
      </c>
      <c r="Q377" s="36">
        <f t="shared" si="133"/>
        <v>-7.7785175308835885E-2</v>
      </c>
      <c r="R377" s="37">
        <f t="shared" si="134"/>
        <v>6.0505334978263317E-3</v>
      </c>
      <c r="T377" s="31">
        <f t="shared" si="135"/>
        <v>-1.1159783377971853E-2</v>
      </c>
      <c r="U377" s="31">
        <f t="shared" si="136"/>
        <v>-6.6958700267831114E-2</v>
      </c>
      <c r="V377" s="31">
        <f t="shared" si="137"/>
        <v>-2.4551523431538078E-2</v>
      </c>
      <c r="W377" s="31">
        <f t="shared" si="138"/>
        <v>-4.4639133511887412E-2</v>
      </c>
      <c r="X377" s="31">
        <f t="shared" si="139"/>
        <v>-1.1159783377971853E-2</v>
      </c>
    </row>
    <row r="378" spans="1:24" ht="14.25" customHeight="1" x14ac:dyDescent="0.3">
      <c r="A378" s="2"/>
      <c r="B378" s="38">
        <v>54</v>
      </c>
      <c r="C378" s="10">
        <v>6.1</v>
      </c>
      <c r="D378" s="11">
        <v>2.9</v>
      </c>
      <c r="E378" s="11">
        <v>4.7</v>
      </c>
      <c r="F378" s="11">
        <v>1.4</v>
      </c>
      <c r="G378" s="39">
        <v>1</v>
      </c>
      <c r="I378" s="38">
        <f>I377-K2*T377</f>
        <v>0.30119911936564697</v>
      </c>
      <c r="J378" s="40">
        <f>J377-K2*U377</f>
        <v>-0.47051842900739299</v>
      </c>
      <c r="K378" s="40">
        <f>K377-K2*V377</f>
        <v>-0.27152350182525953</v>
      </c>
      <c r="L378" s="40">
        <f>L377-K2*W377</f>
        <v>1.2043398980147724</v>
      </c>
      <c r="M378" s="40">
        <f>M377-K2*X377</f>
        <v>0.84039506273024489</v>
      </c>
      <c r="N378" s="35">
        <f t="shared" si="130"/>
        <v>3.4805691556190697</v>
      </c>
      <c r="O378" s="35">
        <f t="shared" si="131"/>
        <v>0.97012981757594274</v>
      </c>
      <c r="P378" s="36">
        <f t="shared" si="132"/>
        <v>1</v>
      </c>
      <c r="Q378" s="36">
        <f t="shared" si="133"/>
        <v>-2.9870182424057257E-2</v>
      </c>
      <c r="R378" s="37">
        <f t="shared" si="134"/>
        <v>8.922277980464591E-4</v>
      </c>
      <c r="T378" s="31">
        <f t="shared" si="135"/>
        <v>-1.7311535819099929E-3</v>
      </c>
      <c r="U378" s="31">
        <f t="shared" si="136"/>
        <v>-1.0560036849650956E-2</v>
      </c>
      <c r="V378" s="31">
        <f t="shared" si="137"/>
        <v>-5.020345387538979E-3</v>
      </c>
      <c r="W378" s="31">
        <f t="shared" si="138"/>
        <v>-8.1364218349769674E-3</v>
      </c>
      <c r="X378" s="31">
        <f t="shared" si="139"/>
        <v>-2.4236150146739899E-3</v>
      </c>
    </row>
    <row r="379" spans="1:24" ht="14.25" customHeight="1" x14ac:dyDescent="0.3">
      <c r="A379" s="2"/>
      <c r="B379" s="38">
        <v>55</v>
      </c>
      <c r="C379" s="10">
        <v>5.6</v>
      </c>
      <c r="D379" s="11">
        <v>2.9</v>
      </c>
      <c r="E379" s="11">
        <v>3.6</v>
      </c>
      <c r="F379" s="11">
        <v>1.3</v>
      </c>
      <c r="G379" s="39">
        <v>1</v>
      </c>
      <c r="I379" s="38">
        <f>I378-K2*T378</f>
        <v>0.30137223472383795</v>
      </c>
      <c r="J379" s="40">
        <f>J378-K2*U378</f>
        <v>-0.46946242532242788</v>
      </c>
      <c r="K379" s="40">
        <f>K378-K2*V378</f>
        <v>-0.27102146728650561</v>
      </c>
      <c r="L379" s="40">
        <f>L378-K2*W378</f>
        <v>1.20515354019827</v>
      </c>
      <c r="M379" s="40">
        <f>M378-K2*X378</f>
        <v>0.84063742423171228</v>
      </c>
      <c r="N379" s="35">
        <f t="shared" si="130"/>
        <v>2.3178017940023743</v>
      </c>
      <c r="O379" s="35">
        <f t="shared" si="131"/>
        <v>0.91034068370695564</v>
      </c>
      <c r="P379" s="36">
        <f t="shared" si="132"/>
        <v>1</v>
      </c>
      <c r="Q379" s="36">
        <f t="shared" si="133"/>
        <v>-8.9659316293044355E-2</v>
      </c>
      <c r="R379" s="37">
        <f t="shared" si="134"/>
        <v>8.0387929981361687E-3</v>
      </c>
      <c r="T379" s="31">
        <f t="shared" si="135"/>
        <v>-1.4636080628203936E-2</v>
      </c>
      <c r="U379" s="31">
        <f t="shared" si="136"/>
        <v>-8.1962051517942031E-2</v>
      </c>
      <c r="V379" s="31">
        <f t="shared" si="137"/>
        <v>-4.2444633821791415E-2</v>
      </c>
      <c r="W379" s="31">
        <f t="shared" si="138"/>
        <v>-5.2689890261534172E-2</v>
      </c>
      <c r="X379" s="31">
        <f t="shared" si="139"/>
        <v>-1.9026904816665118E-2</v>
      </c>
    </row>
    <row r="380" spans="1:24" ht="14.25" customHeight="1" x14ac:dyDescent="0.3">
      <c r="A380" s="2"/>
      <c r="B380" s="38">
        <v>56</v>
      </c>
      <c r="C380" s="10">
        <v>6.7</v>
      </c>
      <c r="D380" s="11">
        <v>3.1</v>
      </c>
      <c r="E380" s="11">
        <v>4.4000000000000004</v>
      </c>
      <c r="F380" s="11">
        <v>1.4</v>
      </c>
      <c r="G380" s="39">
        <v>1</v>
      </c>
      <c r="I380" s="38">
        <f>I379-K2*T379</f>
        <v>0.30283584278665837</v>
      </c>
      <c r="J380" s="40">
        <f>J379-K2*U379</f>
        <v>-0.46126622017063368</v>
      </c>
      <c r="K380" s="40">
        <f>K379-K2*V379</f>
        <v>-0.26677700390432646</v>
      </c>
      <c r="L380" s="40">
        <f>L379-K2*W379</f>
        <v>1.2104225292244235</v>
      </c>
      <c r="M380" s="40">
        <f>M379-K2*X379</f>
        <v>0.84254011471337875</v>
      </c>
      <c r="N380" s="35">
        <f t="shared" si="130"/>
        <v>2.8907587447261944</v>
      </c>
      <c r="O380" s="35">
        <f t="shared" si="131"/>
        <v>0.94738771345459805</v>
      </c>
      <c r="P380" s="36">
        <f t="shared" si="132"/>
        <v>1</v>
      </c>
      <c r="Q380" s="36">
        <f t="shared" si="133"/>
        <v>-5.2612286545401954E-2</v>
      </c>
      <c r="R380" s="37">
        <f t="shared" si="134"/>
        <v>2.7680526955354834E-3</v>
      </c>
      <c r="T380" s="31">
        <f t="shared" si="135"/>
        <v>-5.2448382278903966E-3</v>
      </c>
      <c r="U380" s="31">
        <f t="shared" si="136"/>
        <v>-3.5140416126865658E-2</v>
      </c>
      <c r="V380" s="31">
        <f t="shared" si="137"/>
        <v>-1.6258998506460232E-2</v>
      </c>
      <c r="W380" s="31">
        <f t="shared" si="138"/>
        <v>-2.3077288202717747E-2</v>
      </c>
      <c r="X380" s="31">
        <f t="shared" si="139"/>
        <v>-7.3427735190465544E-3</v>
      </c>
    </row>
    <row r="381" spans="1:24" ht="14.25" customHeight="1" x14ac:dyDescent="0.3">
      <c r="A381" s="2"/>
      <c r="B381" s="38">
        <v>57</v>
      </c>
      <c r="C381" s="10">
        <v>5.6</v>
      </c>
      <c r="D381" s="11">
        <v>3</v>
      </c>
      <c r="E381" s="11">
        <v>4.5</v>
      </c>
      <c r="F381" s="11">
        <v>1.5</v>
      </c>
      <c r="G381" s="39">
        <v>1</v>
      </c>
      <c r="I381" s="38">
        <f>I380-K2*T380</f>
        <v>0.30336032660944739</v>
      </c>
      <c r="J381" s="40">
        <f>J380-K2*U380</f>
        <v>-0.45775217855794709</v>
      </c>
      <c r="K381" s="40">
        <f>K380-K2*V380</f>
        <v>-0.26515110405368042</v>
      </c>
      <c r="L381" s="40">
        <f>L380-K2*W380</f>
        <v>1.2127302580446953</v>
      </c>
      <c r="M381" s="40">
        <f>M380-K2*X380</f>
        <v>0.84327439206528343</v>
      </c>
      <c r="N381" s="35">
        <f t="shared" si="130"/>
        <v>3.6666925638229566</v>
      </c>
      <c r="O381" s="35">
        <f t="shared" si="131"/>
        <v>0.97507620272890105</v>
      </c>
      <c r="P381" s="36">
        <f t="shared" si="132"/>
        <v>1</v>
      </c>
      <c r="Q381" s="36">
        <f t="shared" si="133"/>
        <v>-2.4923797271098946E-2</v>
      </c>
      <c r="R381" s="37">
        <f t="shared" si="134"/>
        <v>6.2119567041083931E-4</v>
      </c>
      <c r="T381" s="31">
        <f t="shared" si="135"/>
        <v>-1.2114262309116702E-3</v>
      </c>
      <c r="U381" s="31">
        <f t="shared" si="136"/>
        <v>-6.7839868931053532E-3</v>
      </c>
      <c r="V381" s="31">
        <f t="shared" si="137"/>
        <v>-3.6342786927350107E-3</v>
      </c>
      <c r="W381" s="31">
        <f t="shared" si="138"/>
        <v>-5.4514180391025159E-3</v>
      </c>
      <c r="X381" s="31">
        <f t="shared" si="139"/>
        <v>-1.8171393463675054E-3</v>
      </c>
    </row>
    <row r="382" spans="1:24" ht="14.25" customHeight="1" x14ac:dyDescent="0.3">
      <c r="A382" s="2"/>
      <c r="B382" s="38">
        <v>58</v>
      </c>
      <c r="C382" s="10">
        <v>5.8</v>
      </c>
      <c r="D382" s="11">
        <v>2.7</v>
      </c>
      <c r="E382" s="11">
        <v>4.0999999999999996</v>
      </c>
      <c r="F382" s="11">
        <v>1</v>
      </c>
      <c r="G382" s="39">
        <v>1</v>
      </c>
      <c r="I382" s="38">
        <f>I381-K2*T381</f>
        <v>0.30348146923253855</v>
      </c>
      <c r="J382" s="40">
        <f>J381-K2*U381</f>
        <v>-0.45707377986863656</v>
      </c>
      <c r="K382" s="40">
        <f>K381-K2*V381</f>
        <v>-0.26478767618440691</v>
      </c>
      <c r="L382" s="40">
        <f>L381-K2*W381</f>
        <v>1.2132753998486054</v>
      </c>
      <c r="M382" s="40">
        <f>M381-K2*X381</f>
        <v>0.84345610599992016</v>
      </c>
      <c r="N382" s="35">
        <f t="shared" si="130"/>
        <v>2.7554120656757504</v>
      </c>
      <c r="O382" s="35">
        <f t="shared" si="131"/>
        <v>0.94021827624584497</v>
      </c>
      <c r="P382" s="36">
        <f t="shared" si="132"/>
        <v>1</v>
      </c>
      <c r="Q382" s="36">
        <f t="shared" si="133"/>
        <v>-5.9781723754155025E-2</v>
      </c>
      <c r="R382" s="37">
        <f t="shared" si="134"/>
        <v>3.5738544950181033E-3</v>
      </c>
      <c r="T382" s="31">
        <f t="shared" si="135"/>
        <v>-6.7204066257187719E-3</v>
      </c>
      <c r="U382" s="31">
        <f t="shared" si="136"/>
        <v>-3.8978358429168879E-2</v>
      </c>
      <c r="V382" s="31">
        <f t="shared" si="137"/>
        <v>-1.8145097889440687E-2</v>
      </c>
      <c r="W382" s="31">
        <f t="shared" si="138"/>
        <v>-2.7553667165446962E-2</v>
      </c>
      <c r="X382" s="31">
        <f t="shared" si="139"/>
        <v>-6.7204066257187719E-3</v>
      </c>
    </row>
    <row r="383" spans="1:24" ht="14.25" customHeight="1" x14ac:dyDescent="0.3">
      <c r="A383" s="2"/>
      <c r="B383" s="38">
        <v>59</v>
      </c>
      <c r="C383" s="10">
        <v>6.2</v>
      </c>
      <c r="D383" s="11">
        <v>2.2000000000000002</v>
      </c>
      <c r="E383" s="11">
        <v>4.5</v>
      </c>
      <c r="F383" s="11">
        <v>1.5</v>
      </c>
      <c r="G383" s="39">
        <v>1</v>
      </c>
      <c r="I383" s="38">
        <f>I382-K2*T382</f>
        <v>0.30415350989511042</v>
      </c>
      <c r="J383" s="40">
        <f>J382-K2*U382</f>
        <v>-0.4531759440257197</v>
      </c>
      <c r="K383" s="40">
        <f>K382-K2*V382</f>
        <v>-0.26297316639546287</v>
      </c>
      <c r="L383" s="40">
        <f>L382-K2*W382</f>
        <v>1.2160307665651502</v>
      </c>
      <c r="M383" s="40">
        <f>M382-K2*X382</f>
        <v>0.84412814666249203</v>
      </c>
      <c r="N383" s="35">
        <f t="shared" si="130"/>
        <v>3.6542523604025439</v>
      </c>
      <c r="O383" s="35">
        <f t="shared" si="131"/>
        <v>0.97477207996436632</v>
      </c>
      <c r="P383" s="36">
        <f t="shared" si="132"/>
        <v>1</v>
      </c>
      <c r="Q383" s="36">
        <f t="shared" si="133"/>
        <v>-2.5227920035633677E-2</v>
      </c>
      <c r="R383" s="37">
        <f t="shared" si="134"/>
        <v>6.364479493243271E-4</v>
      </c>
      <c r="T383" s="31">
        <f t="shared" si="135"/>
        <v>-1.2407833827038598E-3</v>
      </c>
      <c r="U383" s="31">
        <f t="shared" si="136"/>
        <v>-7.6928569727639307E-3</v>
      </c>
      <c r="V383" s="31">
        <f t="shared" si="137"/>
        <v>-2.7297234419484916E-3</v>
      </c>
      <c r="W383" s="31">
        <f t="shared" si="138"/>
        <v>-5.5835252221673693E-3</v>
      </c>
      <c r="X383" s="31">
        <f t="shared" si="139"/>
        <v>-1.8611750740557898E-3</v>
      </c>
    </row>
    <row r="384" spans="1:24" ht="14.25" customHeight="1" x14ac:dyDescent="0.3">
      <c r="A384" s="2"/>
      <c r="B384" s="38">
        <v>60</v>
      </c>
      <c r="C384" s="10">
        <v>5.6</v>
      </c>
      <c r="D384" s="11">
        <v>2.5</v>
      </c>
      <c r="E384" s="11">
        <v>3.9</v>
      </c>
      <c r="F384" s="11">
        <v>1.1000000000000001</v>
      </c>
      <c r="G384" s="39">
        <v>1</v>
      </c>
      <c r="I384" s="38">
        <f>I383-K2*T383</f>
        <v>0.3042775882333808</v>
      </c>
      <c r="J384" s="40">
        <f>J383-K2*U383</f>
        <v>-0.45240665832844329</v>
      </c>
      <c r="K384" s="40">
        <f>K383-K2*V383</f>
        <v>-0.26270019405126804</v>
      </c>
      <c r="L384" s="40">
        <f>L383-K2*W383</f>
        <v>1.216589119087367</v>
      </c>
      <c r="M384" s="40">
        <f>M383-K2*X383</f>
        <v>0.84431426416989763</v>
      </c>
      <c r="N384" s="35">
        <f t="shared" si="130"/>
        <v>2.7874930714935466</v>
      </c>
      <c r="O384" s="35">
        <f t="shared" si="131"/>
        <v>0.9419962194809629</v>
      </c>
      <c r="P384" s="36">
        <f t="shared" si="132"/>
        <v>1</v>
      </c>
      <c r="Q384" s="36">
        <f t="shared" si="133"/>
        <v>-5.8003780519037096E-2</v>
      </c>
      <c r="R384" s="37">
        <f t="shared" si="134"/>
        <v>3.3644385545006272E-3</v>
      </c>
      <c r="T384" s="31">
        <f t="shared" si="135"/>
        <v>-6.3385767980311727E-3</v>
      </c>
      <c r="U384" s="31">
        <f t="shared" si="136"/>
        <v>-3.5496030068974567E-2</v>
      </c>
      <c r="V384" s="31">
        <f t="shared" si="137"/>
        <v>-1.5846441995077933E-2</v>
      </c>
      <c r="W384" s="31">
        <f t="shared" si="138"/>
        <v>-2.4720449512321573E-2</v>
      </c>
      <c r="X384" s="31">
        <f t="shared" si="139"/>
        <v>-6.9724344778342908E-3</v>
      </c>
    </row>
    <row r="385" spans="1:24" ht="14.25" customHeight="1" x14ac:dyDescent="0.3">
      <c r="A385" s="2"/>
      <c r="B385" s="38">
        <v>61</v>
      </c>
      <c r="C385" s="10">
        <v>5.9</v>
      </c>
      <c r="D385" s="11">
        <v>3.2</v>
      </c>
      <c r="E385" s="11">
        <v>4.8</v>
      </c>
      <c r="F385" s="11">
        <v>1.8</v>
      </c>
      <c r="G385" s="39">
        <v>1</v>
      </c>
      <c r="I385" s="38">
        <f>I384-K2*T384</f>
        <v>0.30491144591318392</v>
      </c>
      <c r="J385" s="40">
        <f>J384-K2*U384</f>
        <v>-0.44885705532154585</v>
      </c>
      <c r="K385" s="40">
        <f>K384-K2*V384</f>
        <v>-0.26111554985176028</v>
      </c>
      <c r="L385" s="40">
        <f>L384-K2*W384</f>
        <v>1.2190611640385991</v>
      </c>
      <c r="M385" s="40">
        <f>M384-K2*X384</f>
        <v>0.84501150761768107</v>
      </c>
      <c r="N385" s="35">
        <f t="shared" si="130"/>
        <v>4.1935993610875313</v>
      </c>
      <c r="O385" s="35">
        <f t="shared" si="131"/>
        <v>0.98513251221212716</v>
      </c>
      <c r="P385" s="36">
        <f t="shared" si="132"/>
        <v>1</v>
      </c>
      <c r="Q385" s="36">
        <f t="shared" si="133"/>
        <v>-1.4867487787872835E-2</v>
      </c>
      <c r="R385" s="37">
        <f t="shared" si="134"/>
        <v>2.2104219312254789E-4</v>
      </c>
      <c r="T385" s="31">
        <f t="shared" si="135"/>
        <v>-4.3551170203138758E-4</v>
      </c>
      <c r="U385" s="31">
        <f t="shared" si="136"/>
        <v>-2.5695190419851867E-3</v>
      </c>
      <c r="V385" s="31">
        <f t="shared" si="137"/>
        <v>-1.3936374465004404E-3</v>
      </c>
      <c r="W385" s="31">
        <f t="shared" si="138"/>
        <v>-2.0904561697506602E-3</v>
      </c>
      <c r="X385" s="31">
        <f t="shared" si="139"/>
        <v>-7.8392106365649764E-4</v>
      </c>
    </row>
    <row r="386" spans="1:24" ht="14.25" customHeight="1" x14ac:dyDescent="0.3">
      <c r="A386" s="2"/>
      <c r="B386" s="38">
        <v>62</v>
      </c>
      <c r="C386" s="10">
        <v>6.1</v>
      </c>
      <c r="D386" s="11">
        <v>2.8</v>
      </c>
      <c r="E386" s="11">
        <v>4</v>
      </c>
      <c r="F386" s="11">
        <v>1.3</v>
      </c>
      <c r="G386" s="39">
        <v>1</v>
      </c>
      <c r="I386" s="38">
        <f>I385-K2*T385</f>
        <v>0.30495499708338708</v>
      </c>
      <c r="J386" s="40">
        <f>J385-K2*U385</f>
        <v>-0.44860010341734735</v>
      </c>
      <c r="K386" s="40">
        <f>K385-K2*V385</f>
        <v>-0.26097618610711021</v>
      </c>
      <c r="L386" s="40">
        <f>L385-K2*W385</f>
        <v>1.2192702096555741</v>
      </c>
      <c r="M386" s="40">
        <f>M385-K2*X385</f>
        <v>0.84508989972404669</v>
      </c>
      <c r="N386" s="35">
        <f t="shared" si="130"/>
        <v>2.8134587534012168</v>
      </c>
      <c r="O386" s="35">
        <f t="shared" si="131"/>
        <v>0.9433987915068377</v>
      </c>
      <c r="P386" s="36">
        <f t="shared" si="132"/>
        <v>1</v>
      </c>
      <c r="Q386" s="36">
        <f t="shared" si="133"/>
        <v>-5.6601208493162303E-2</v>
      </c>
      <c r="R386" s="37">
        <f t="shared" si="134"/>
        <v>3.2036968028864286E-3</v>
      </c>
      <c r="T386" s="31">
        <f t="shared" si="135"/>
        <v>-6.0447273843947527E-3</v>
      </c>
      <c r="U386" s="31">
        <f t="shared" si="136"/>
        <v>-3.6872837044807989E-2</v>
      </c>
      <c r="V386" s="31">
        <f t="shared" si="137"/>
        <v>-1.6925236676305307E-2</v>
      </c>
      <c r="W386" s="31">
        <f t="shared" si="138"/>
        <v>-2.4178909537579011E-2</v>
      </c>
      <c r="X386" s="31">
        <f t="shared" si="139"/>
        <v>-7.8581455997131788E-3</v>
      </c>
    </row>
    <row r="387" spans="1:24" ht="14.25" customHeight="1" x14ac:dyDescent="0.3">
      <c r="A387" s="2"/>
      <c r="B387" s="38">
        <v>63</v>
      </c>
      <c r="C387" s="10">
        <v>6.3</v>
      </c>
      <c r="D387" s="11">
        <v>2.5</v>
      </c>
      <c r="E387" s="11">
        <v>4.9000000000000004</v>
      </c>
      <c r="F387" s="11">
        <v>1.5</v>
      </c>
      <c r="G387" s="39">
        <v>1</v>
      </c>
      <c r="I387" s="38">
        <f>I386-K2*T386</f>
        <v>0.30555946982182658</v>
      </c>
      <c r="J387" s="40">
        <f>J386-K2*U386</f>
        <v>-0.44491281971286656</v>
      </c>
      <c r="K387" s="40">
        <f>K386-K2*V386</f>
        <v>-0.2592836624394797</v>
      </c>
      <c r="L387" s="40">
        <f>L386-K2*W386</f>
        <v>1.2216881006093321</v>
      </c>
      <c r="M387" s="40">
        <f>M386-K2*X386</f>
        <v>0.84587571428401798</v>
      </c>
      <c r="N387" s="35">
        <f t="shared" si="130"/>
        <v>4.1094848139438227</v>
      </c>
      <c r="O387" s="35">
        <f t="shared" si="131"/>
        <v>0.98384891023962906</v>
      </c>
      <c r="P387" s="36">
        <f t="shared" si="132"/>
        <v>1</v>
      </c>
      <c r="Q387" s="36">
        <f t="shared" si="133"/>
        <v>-1.615108976037094E-2</v>
      </c>
      <c r="R387" s="37">
        <f t="shared" si="134"/>
        <v>2.6085770044755903E-4</v>
      </c>
      <c r="T387" s="31">
        <f t="shared" si="135"/>
        <v>-5.1328912862589314E-4</v>
      </c>
      <c r="U387" s="31">
        <f t="shared" si="136"/>
        <v>-3.2337215103431269E-3</v>
      </c>
      <c r="V387" s="31">
        <f t="shared" si="137"/>
        <v>-1.2832228215647328E-3</v>
      </c>
      <c r="W387" s="31">
        <f t="shared" si="138"/>
        <v>-2.5151167302668764E-3</v>
      </c>
      <c r="X387" s="31">
        <f t="shared" si="139"/>
        <v>-7.6993369293883976E-4</v>
      </c>
    </row>
    <row r="388" spans="1:24" ht="14.25" customHeight="1" x14ac:dyDescent="0.3">
      <c r="A388" s="2"/>
      <c r="B388" s="38">
        <v>64</v>
      </c>
      <c r="C388" s="10">
        <v>6.1</v>
      </c>
      <c r="D388" s="11">
        <v>2.8</v>
      </c>
      <c r="E388" s="11">
        <v>4.7</v>
      </c>
      <c r="F388" s="11">
        <v>1.2</v>
      </c>
      <c r="G388" s="39">
        <v>1</v>
      </c>
      <c r="I388" s="38">
        <f>I387-K2*T387</f>
        <v>0.30561079873468916</v>
      </c>
      <c r="J388" s="40">
        <f>J387-K2*U387</f>
        <v>-0.44458944756183222</v>
      </c>
      <c r="K388" s="40">
        <f>K387-K2*V387</f>
        <v>-0.25915534015732322</v>
      </c>
      <c r="L388" s="40">
        <f>L387-K2*W387</f>
        <v>1.2219396122823587</v>
      </c>
      <c r="M388" s="40">
        <f>M387-K2*X387</f>
        <v>0.84595270765331188</v>
      </c>
      <c r="N388" s="35">
        <f t="shared" si="130"/>
        <v>3.6262396430780681</v>
      </c>
      <c r="O388" s="35">
        <f t="shared" si="131"/>
        <v>0.97407396699674342</v>
      </c>
      <c r="P388" s="36">
        <f t="shared" si="132"/>
        <v>1</v>
      </c>
      <c r="Q388" s="36">
        <f t="shared" si="133"/>
        <v>-2.5926033003256577E-2</v>
      </c>
      <c r="R388" s="37">
        <f t="shared" si="134"/>
        <v>6.721591872859492E-4</v>
      </c>
      <c r="T388" s="31">
        <f t="shared" si="135"/>
        <v>-1.3094655320258631E-3</v>
      </c>
      <c r="U388" s="31">
        <f t="shared" si="136"/>
        <v>-7.987739745357764E-3</v>
      </c>
      <c r="V388" s="31">
        <f t="shared" si="137"/>
        <v>-3.6665034896724165E-3</v>
      </c>
      <c r="W388" s="31">
        <f t="shared" si="138"/>
        <v>-6.1544880005215572E-3</v>
      </c>
      <c r="X388" s="31">
        <f t="shared" si="139"/>
        <v>-1.5713586384310358E-3</v>
      </c>
    </row>
    <row r="389" spans="1:24" ht="14.25" customHeight="1" x14ac:dyDescent="0.3">
      <c r="A389" s="2"/>
      <c r="B389" s="38">
        <v>65</v>
      </c>
      <c r="C389" s="10">
        <v>6.4</v>
      </c>
      <c r="D389" s="11">
        <v>2.9</v>
      </c>
      <c r="E389" s="11">
        <v>4.3</v>
      </c>
      <c r="F389" s="11">
        <v>1.3</v>
      </c>
      <c r="G389" s="39">
        <v>1</v>
      </c>
      <c r="I389" s="38">
        <f>I388-K2*T388</f>
        <v>0.30574174528789172</v>
      </c>
      <c r="J389" s="40">
        <f>J388-K2*U388</f>
        <v>-0.44379067358729646</v>
      </c>
      <c r="K389" s="40">
        <f>K388-K2*V388</f>
        <v>-0.25878868980835595</v>
      </c>
      <c r="L389" s="40">
        <f>L388-K2*W388</f>
        <v>1.222555061082411</v>
      </c>
      <c r="M389" s="40">
        <f>M388-K2*X388</f>
        <v>0.84610984351715501</v>
      </c>
      <c r="N389" s="35">
        <f t="shared" ref="N389:N404" si="140">I389+J389*C389+K389*D389+L389*E389+F389*M389</f>
        <v>3.0719237931116306</v>
      </c>
      <c r="O389" s="35">
        <f t="shared" ref="O389:O404" si="141">1/(1+EXP(-N389))</f>
        <v>0.95571965796710101</v>
      </c>
      <c r="P389" s="36">
        <f t="shared" ref="P389:P404" si="142">IF(O389&gt;0.5,1,0)</f>
        <v>1</v>
      </c>
      <c r="Q389" s="36">
        <f t="shared" ref="Q389:Q404" si="143">O389-G389</f>
        <v>-4.4280342032898989E-2</v>
      </c>
      <c r="R389" s="37">
        <f t="shared" ref="R389:R404" si="144">Q389^2</f>
        <v>1.9607486905505209E-3</v>
      </c>
      <c r="T389" s="31">
        <f t="shared" ref="T389:T404" si="145">2*(O389-G389)*(1-O389)*O389</f>
        <v>-3.74785213578477E-3</v>
      </c>
      <c r="U389" s="31">
        <f t="shared" ref="U389:U404" si="146">2*(O389-G389)*(1-O389)*O389*C389</f>
        <v>-2.3986253669022531E-2</v>
      </c>
      <c r="V389" s="31">
        <f t="shared" ref="V389:V404" si="147">2*(O389-G389)*(1-O389)*O389*D389</f>
        <v>-1.0868771193775833E-2</v>
      </c>
      <c r="W389" s="31">
        <f t="shared" ref="W389:W404" si="148">2*(O389-G389)*(1-O389)*O389*E389</f>
        <v>-1.6115764183874511E-2</v>
      </c>
      <c r="X389" s="31">
        <f t="shared" ref="X389:X404" si="149">2*(O389-G389)*(1-O389)*O389*F389</f>
        <v>-4.8722077765202014E-3</v>
      </c>
    </row>
    <row r="390" spans="1:24" ht="14.25" customHeight="1" x14ac:dyDescent="0.3">
      <c r="A390" s="2"/>
      <c r="B390" s="38">
        <v>66</v>
      </c>
      <c r="C390" s="10">
        <v>6.6</v>
      </c>
      <c r="D390" s="11">
        <v>3</v>
      </c>
      <c r="E390" s="11">
        <v>4.4000000000000004</v>
      </c>
      <c r="F390" s="11">
        <v>1.4</v>
      </c>
      <c r="G390" s="39">
        <v>1</v>
      </c>
      <c r="I390" s="38">
        <f>I389-K2*T389</f>
        <v>0.3061165305014702</v>
      </c>
      <c r="J390" s="40">
        <f>J389-K2*U389</f>
        <v>-0.44139204822039418</v>
      </c>
      <c r="K390" s="40">
        <f>K389-K2*V389</f>
        <v>-0.25770181268897835</v>
      </c>
      <c r="L390" s="40">
        <f>L389-K2*W389</f>
        <v>1.2241666375007985</v>
      </c>
      <c r="M390" s="40">
        <f>M389-K2*X389</f>
        <v>0.84659706429480708</v>
      </c>
      <c r="N390" s="35">
        <f t="shared" si="140"/>
        <v>3.1913926691961763</v>
      </c>
      <c r="O390" s="35">
        <f t="shared" si="141"/>
        <v>0.96050908021571502</v>
      </c>
      <c r="P390" s="36">
        <f t="shared" si="142"/>
        <v>1</v>
      </c>
      <c r="Q390" s="36">
        <f t="shared" si="143"/>
        <v>-3.9490919784284984E-2</v>
      </c>
      <c r="R390" s="37">
        <f t="shared" si="144"/>
        <v>1.5595327454088312E-3</v>
      </c>
      <c r="T390" s="31">
        <f t="shared" si="145"/>
        <v>-2.9958907257178506E-3</v>
      </c>
      <c r="U390" s="31">
        <f t="shared" si="146"/>
        <v>-1.9772878789737814E-2</v>
      </c>
      <c r="V390" s="31">
        <f t="shared" si="147"/>
        <v>-8.9876721771535509E-3</v>
      </c>
      <c r="W390" s="31">
        <f t="shared" si="148"/>
        <v>-1.3181919193158543E-2</v>
      </c>
      <c r="X390" s="31">
        <f t="shared" si="149"/>
        <v>-4.1942470160049906E-3</v>
      </c>
    </row>
    <row r="391" spans="1:24" ht="14.25" customHeight="1" x14ac:dyDescent="0.3">
      <c r="A391" s="2"/>
      <c r="B391" s="38">
        <v>67</v>
      </c>
      <c r="C391" s="10">
        <v>6.8</v>
      </c>
      <c r="D391" s="11">
        <v>2.8</v>
      </c>
      <c r="E391" s="11">
        <v>4.8</v>
      </c>
      <c r="F391" s="11">
        <v>1.4</v>
      </c>
      <c r="G391" s="39">
        <v>1</v>
      </c>
      <c r="I391" s="38">
        <f>I390-K2*T390</f>
        <v>0.30641611957404197</v>
      </c>
      <c r="J391" s="40">
        <f>J390-K2*U390</f>
        <v>-0.43941476034142041</v>
      </c>
      <c r="K391" s="40">
        <f>K390-K2*V390</f>
        <v>-0.25680304547126298</v>
      </c>
      <c r="L391" s="40">
        <f>L390-K2*W390</f>
        <v>1.2254848294201144</v>
      </c>
      <c r="M391" s="40">
        <f>M390-K2*X390</f>
        <v>0.84701648899640758</v>
      </c>
      <c r="N391" s="35">
        <f t="shared" si="140"/>
        <v>3.6674974877443658</v>
      </c>
      <c r="O391" s="35">
        <f t="shared" si="141"/>
        <v>0.97509575699567075</v>
      </c>
      <c r="P391" s="36">
        <f t="shared" si="142"/>
        <v>1</v>
      </c>
      <c r="Q391" s="36">
        <f t="shared" si="143"/>
        <v>-2.4904243004329252E-2</v>
      </c>
      <c r="R391" s="37">
        <f t="shared" si="144"/>
        <v>6.2022131961868244E-4</v>
      </c>
      <c r="T391" s="31">
        <f t="shared" si="145"/>
        <v>-1.209550354316866E-3</v>
      </c>
      <c r="U391" s="31">
        <f t="shared" si="146"/>
        <v>-8.224942409354688E-3</v>
      </c>
      <c r="V391" s="31">
        <f t="shared" si="147"/>
        <v>-3.3867409920872245E-3</v>
      </c>
      <c r="W391" s="31">
        <f t="shared" si="148"/>
        <v>-5.8058417007209569E-3</v>
      </c>
      <c r="X391" s="31">
        <f t="shared" si="149"/>
        <v>-1.6933704960436123E-3</v>
      </c>
    </row>
    <row r="392" spans="1:24" ht="14.25" customHeight="1" x14ac:dyDescent="0.3">
      <c r="A392" s="2"/>
      <c r="B392" s="38">
        <v>68</v>
      </c>
      <c r="C392" s="10">
        <v>6.7</v>
      </c>
      <c r="D392" s="11">
        <v>3</v>
      </c>
      <c r="E392" s="11">
        <v>5</v>
      </c>
      <c r="F392" s="11">
        <v>1.7</v>
      </c>
      <c r="G392" s="39">
        <v>1</v>
      </c>
      <c r="I392" s="38">
        <f>I391-K2*T391</f>
        <v>0.30653707460947366</v>
      </c>
      <c r="J392" s="40">
        <f>J391-K2*U391</f>
        <v>-0.43859226610048496</v>
      </c>
      <c r="K392" s="40">
        <f>K391-K2*V391</f>
        <v>-0.25646437137205425</v>
      </c>
      <c r="L392" s="40">
        <f>L391-K2*W391</f>
        <v>1.2260654135901865</v>
      </c>
      <c r="M392" s="40">
        <f>M391-K2*X391</f>
        <v>0.84718582604601189</v>
      </c>
      <c r="N392" s="35">
        <f t="shared" si="140"/>
        <v>4.1691187498492139</v>
      </c>
      <c r="O392" s="35">
        <f t="shared" si="141"/>
        <v>0.98476966712058578</v>
      </c>
      <c r="P392" s="36">
        <f t="shared" si="142"/>
        <v>1</v>
      </c>
      <c r="Q392" s="36">
        <f t="shared" si="143"/>
        <v>-1.5230332879414221E-2</v>
      </c>
      <c r="R392" s="37">
        <f t="shared" si="144"/>
        <v>2.3196303961776587E-4</v>
      </c>
      <c r="T392" s="31">
        <f t="shared" si="145"/>
        <v>-4.5686033061733311E-4</v>
      </c>
      <c r="U392" s="31">
        <f t="shared" si="146"/>
        <v>-3.0609642151361318E-3</v>
      </c>
      <c r="V392" s="31">
        <f t="shared" si="147"/>
        <v>-1.3705809918519993E-3</v>
      </c>
      <c r="W392" s="31">
        <f t="shared" si="148"/>
        <v>-2.2843016530866653E-3</v>
      </c>
      <c r="X392" s="31">
        <f t="shared" si="149"/>
        <v>-7.7666256204946623E-4</v>
      </c>
    </row>
    <row r="393" spans="1:24" ht="14.25" customHeight="1" x14ac:dyDescent="0.3">
      <c r="A393" s="2"/>
      <c r="B393" s="38">
        <v>69</v>
      </c>
      <c r="C393" s="10">
        <v>6</v>
      </c>
      <c r="D393" s="11">
        <v>2.9</v>
      </c>
      <c r="E393" s="11">
        <v>4.5</v>
      </c>
      <c r="F393" s="11">
        <v>1.5</v>
      </c>
      <c r="G393" s="39">
        <v>1</v>
      </c>
      <c r="I393" s="38">
        <f>I392-K2*T392</f>
        <v>0.30658276064253537</v>
      </c>
      <c r="J393" s="40">
        <f>J392-K2*U392</f>
        <v>-0.43828616967897133</v>
      </c>
      <c r="K393" s="40">
        <f>K392-K2*V392</f>
        <v>-0.25632731327286906</v>
      </c>
      <c r="L393" s="40">
        <f>L392-K2*W392</f>
        <v>1.2262938437554951</v>
      </c>
      <c r="M393" s="40">
        <f>M392-K2*X392</f>
        <v>0.84726349230221687</v>
      </c>
      <c r="N393" s="35">
        <f t="shared" si="140"/>
        <v>3.7227340694304405</v>
      </c>
      <c r="O393" s="35">
        <f t="shared" si="141"/>
        <v>0.97640249872598572</v>
      </c>
      <c r="P393" s="36">
        <f t="shared" si="142"/>
        <v>1</v>
      </c>
      <c r="Q393" s="36">
        <f t="shared" si="143"/>
        <v>-2.3597501274014276E-2</v>
      </c>
      <c r="R393" s="37">
        <f t="shared" si="144"/>
        <v>5.5684206637710541E-4</v>
      </c>
      <c r="T393" s="31">
        <f t="shared" si="145"/>
        <v>-1.0874039700126939E-3</v>
      </c>
      <c r="U393" s="31">
        <f t="shared" si="146"/>
        <v>-6.5244238200761629E-3</v>
      </c>
      <c r="V393" s="31">
        <f t="shared" si="147"/>
        <v>-3.1534715130368124E-3</v>
      </c>
      <c r="W393" s="31">
        <f t="shared" si="148"/>
        <v>-4.8933178650571226E-3</v>
      </c>
      <c r="X393" s="31">
        <f t="shared" si="149"/>
        <v>-1.6311059550190407E-3</v>
      </c>
    </row>
    <row r="394" spans="1:24" ht="14.25" customHeight="1" x14ac:dyDescent="0.3">
      <c r="A394" s="2"/>
      <c r="B394" s="38">
        <v>70</v>
      </c>
      <c r="C394" s="10">
        <v>5.7</v>
      </c>
      <c r="D394" s="11">
        <v>2.6</v>
      </c>
      <c r="E394" s="11">
        <v>3.5</v>
      </c>
      <c r="F394" s="11">
        <v>1</v>
      </c>
      <c r="G394" s="39">
        <v>1</v>
      </c>
      <c r="I394" s="38">
        <f>I393-K2*T393</f>
        <v>0.30669150103953663</v>
      </c>
      <c r="J394" s="40">
        <f>J393-K2*U393</f>
        <v>-0.4376337272969637</v>
      </c>
      <c r="K394" s="40">
        <f>K393-K2*V393</f>
        <v>-0.2560119661215654</v>
      </c>
      <c r="L394" s="40">
        <f>L393-K2*W393</f>
        <v>1.2267831755420009</v>
      </c>
      <c r="M394" s="40">
        <f>M393-K2*X393</f>
        <v>0.84742660289771876</v>
      </c>
      <c r="N394" s="35">
        <f t="shared" si="140"/>
        <v>2.2877158608254953</v>
      </c>
      <c r="O394" s="35">
        <f t="shared" si="141"/>
        <v>0.90785454909315411</v>
      </c>
      <c r="P394" s="36">
        <f t="shared" si="142"/>
        <v>1</v>
      </c>
      <c r="Q394" s="36">
        <f t="shared" si="143"/>
        <v>-9.2145450906845894E-2</v>
      </c>
      <c r="R394" s="37">
        <f t="shared" si="144"/>
        <v>8.4907841228259468E-3</v>
      </c>
      <c r="T394" s="31">
        <f t="shared" si="145"/>
        <v>-1.5416793982550924E-2</v>
      </c>
      <c r="U394" s="31">
        <f t="shared" si="146"/>
        <v>-8.7875725700540266E-2</v>
      </c>
      <c r="V394" s="31">
        <f t="shared" si="147"/>
        <v>-4.0083664354632405E-2</v>
      </c>
      <c r="W394" s="31">
        <f t="shared" si="148"/>
        <v>-5.3958778938928233E-2</v>
      </c>
      <c r="X394" s="31">
        <f t="shared" si="149"/>
        <v>-1.5416793982550924E-2</v>
      </c>
    </row>
    <row r="395" spans="1:24" ht="14.25" customHeight="1" x14ac:dyDescent="0.3">
      <c r="A395" s="2"/>
      <c r="B395" s="38">
        <v>71</v>
      </c>
      <c r="C395" s="10">
        <v>5.5</v>
      </c>
      <c r="D395" s="11">
        <v>2.4</v>
      </c>
      <c r="E395" s="11">
        <v>3.8</v>
      </c>
      <c r="F395" s="11">
        <v>1.1000000000000001</v>
      </c>
      <c r="G395" s="39">
        <v>1</v>
      </c>
      <c r="I395" s="38">
        <f>I394-K2*T394</f>
        <v>0.30823318043779174</v>
      </c>
      <c r="J395" s="40">
        <f>J394-K2*U394</f>
        <v>-0.42884615472690968</v>
      </c>
      <c r="K395" s="40">
        <f>K394-K2*V394</f>
        <v>-0.25200359968610214</v>
      </c>
      <c r="L395" s="40">
        <f>L394-K2*W394</f>
        <v>1.2321790534358936</v>
      </c>
      <c r="M395" s="40">
        <f>M394-K2*X394</f>
        <v>0.84896828229597388</v>
      </c>
      <c r="N395" s="35">
        <f t="shared" si="140"/>
        <v>2.9609162037751107</v>
      </c>
      <c r="O395" s="35">
        <f t="shared" si="141"/>
        <v>0.95077689014488498</v>
      </c>
      <c r="P395" s="36">
        <f t="shared" si="142"/>
        <v>1</v>
      </c>
      <c r="Q395" s="36">
        <f t="shared" si="143"/>
        <v>-4.9223109855115021E-2</v>
      </c>
      <c r="R395" s="37">
        <f t="shared" si="144"/>
        <v>2.4229145438087215E-3</v>
      </c>
      <c r="T395" s="31">
        <f t="shared" si="145"/>
        <v>-4.6073023100985377E-3</v>
      </c>
      <c r="U395" s="31">
        <f t="shared" si="146"/>
        <v>-2.5340162705541958E-2</v>
      </c>
      <c r="V395" s="31">
        <f t="shared" si="147"/>
        <v>-1.105752554423649E-2</v>
      </c>
      <c r="W395" s="31">
        <f t="shared" si="148"/>
        <v>-1.7507748778374441E-2</v>
      </c>
      <c r="X395" s="31">
        <f t="shared" si="149"/>
        <v>-5.0680325411083917E-3</v>
      </c>
    </row>
    <row r="396" spans="1:24" ht="14.25" customHeight="1" x14ac:dyDescent="0.3">
      <c r="A396" s="2"/>
      <c r="B396" s="38">
        <v>72</v>
      </c>
      <c r="C396" s="10">
        <v>5.5</v>
      </c>
      <c r="D396" s="11">
        <v>2.4</v>
      </c>
      <c r="E396" s="11">
        <v>3.7</v>
      </c>
      <c r="F396" s="11">
        <v>1</v>
      </c>
      <c r="G396" s="39">
        <v>1</v>
      </c>
      <c r="I396" s="38">
        <f>I395-K2*T395</f>
        <v>0.30869391066880159</v>
      </c>
      <c r="J396" s="40">
        <f>J395-K2*U395</f>
        <v>-0.42631213845635546</v>
      </c>
      <c r="K396" s="40">
        <f>K395-K2*V395</f>
        <v>-0.25089784713167851</v>
      </c>
      <c r="L396" s="40">
        <f>L395-K2*W395</f>
        <v>1.233929828313731</v>
      </c>
      <c r="M396" s="40">
        <f>M395-K2*X395</f>
        <v>0.84947508555008466</v>
      </c>
      <c r="N396" s="35">
        <f t="shared" si="140"/>
        <v>2.776837766353708</v>
      </c>
      <c r="O396" s="35">
        <f t="shared" si="141"/>
        <v>0.94141127127931234</v>
      </c>
      <c r="P396" s="36">
        <f t="shared" si="142"/>
        <v>1</v>
      </c>
      <c r="Q396" s="36">
        <f t="shared" si="143"/>
        <v>-5.8588728720687655E-2</v>
      </c>
      <c r="R396" s="37">
        <f t="shared" si="144"/>
        <v>3.4326391331063306E-3</v>
      </c>
      <c r="T396" s="31">
        <f t="shared" si="145"/>
        <v>-6.4630503402814945E-3</v>
      </c>
      <c r="U396" s="31">
        <f t="shared" si="146"/>
        <v>-3.5546776871548218E-2</v>
      </c>
      <c r="V396" s="31">
        <f t="shared" si="147"/>
        <v>-1.5511320816675587E-2</v>
      </c>
      <c r="W396" s="31">
        <f t="shared" si="148"/>
        <v>-2.391328625904153E-2</v>
      </c>
      <c r="X396" s="31">
        <f t="shared" si="149"/>
        <v>-6.4630503402814945E-3</v>
      </c>
    </row>
    <row r="397" spans="1:24" ht="14.25" customHeight="1" x14ac:dyDescent="0.3">
      <c r="A397" s="2"/>
      <c r="B397" s="38">
        <v>73</v>
      </c>
      <c r="C397" s="10">
        <v>5.8</v>
      </c>
      <c r="D397" s="11">
        <v>2.7</v>
      </c>
      <c r="E397" s="11">
        <v>3.9</v>
      </c>
      <c r="F397" s="11">
        <v>1.2</v>
      </c>
      <c r="G397" s="39">
        <v>1</v>
      </c>
      <c r="I397" s="38">
        <f>I396-K2*T396</f>
        <v>0.30934021570282971</v>
      </c>
      <c r="J397" s="40">
        <f>J396-K2*U396</f>
        <v>-0.42275746076920062</v>
      </c>
      <c r="K397" s="40">
        <f>K396-K2*V396</f>
        <v>-0.24934671505001094</v>
      </c>
      <c r="L397" s="40">
        <f>L396-K2*W396</f>
        <v>1.2363211569396351</v>
      </c>
      <c r="M397" s="40">
        <f>M396-K2*X396</f>
        <v>0.85012139058411285</v>
      </c>
      <c r="N397" s="35">
        <f t="shared" si="140"/>
        <v>3.0259089933719485</v>
      </c>
      <c r="O397" s="35">
        <f t="shared" si="141"/>
        <v>0.95373097893957204</v>
      </c>
      <c r="P397" s="36">
        <f t="shared" si="142"/>
        <v>1</v>
      </c>
      <c r="Q397" s="36">
        <f t="shared" si="143"/>
        <v>-4.6269021060427962E-2</v>
      </c>
      <c r="R397" s="37">
        <f t="shared" si="144"/>
        <v>2.1408223098903262E-3</v>
      </c>
      <c r="T397" s="31">
        <f t="shared" si="145"/>
        <v>-4.0835371146947536E-3</v>
      </c>
      <c r="U397" s="31">
        <f t="shared" si="146"/>
        <v>-2.3684515265229571E-2</v>
      </c>
      <c r="V397" s="31">
        <f t="shared" si="147"/>
        <v>-1.1025550209675836E-2</v>
      </c>
      <c r="W397" s="31">
        <f t="shared" si="148"/>
        <v>-1.5925794747309537E-2</v>
      </c>
      <c r="X397" s="31">
        <f t="shared" si="149"/>
        <v>-4.9002445376337038E-3</v>
      </c>
    </row>
    <row r="398" spans="1:24" ht="14.25" customHeight="1" x14ac:dyDescent="0.3">
      <c r="A398" s="2"/>
      <c r="B398" s="38">
        <v>74</v>
      </c>
      <c r="C398" s="10">
        <v>6</v>
      </c>
      <c r="D398" s="11">
        <v>2.7</v>
      </c>
      <c r="E398" s="11">
        <v>5.0999999999999996</v>
      </c>
      <c r="F398" s="11">
        <v>1.6</v>
      </c>
      <c r="G398" s="39">
        <v>1</v>
      </c>
      <c r="I398" s="38">
        <f>I397-K2*T397</f>
        <v>0.30974856941429918</v>
      </c>
      <c r="J398" s="40">
        <f>J397-K2*U397</f>
        <v>-0.42038900924267769</v>
      </c>
      <c r="K398" s="40">
        <f>K397-K2*V397</f>
        <v>-0.24824416002904334</v>
      </c>
      <c r="L398" s="40">
        <f>L397-K2*W397</f>
        <v>1.237913736414366</v>
      </c>
      <c r="M398" s="40">
        <f>M397-K2*X397</f>
        <v>0.85061141503787618</v>
      </c>
      <c r="N398" s="35">
        <f t="shared" si="140"/>
        <v>4.7914936016536842</v>
      </c>
      <c r="O398" s="35">
        <f t="shared" si="141"/>
        <v>0.99176827260926625</v>
      </c>
      <c r="P398" s="36">
        <f t="shared" si="142"/>
        <v>1</v>
      </c>
      <c r="Q398" s="36">
        <f t="shared" si="143"/>
        <v>-8.2317273907337452E-3</v>
      </c>
      <c r="R398" s="37">
        <f t="shared" si="144"/>
        <v>6.7761335835356192E-5</v>
      </c>
      <c r="T398" s="31">
        <f t="shared" si="145"/>
        <v>-1.3440708598225516E-4</v>
      </c>
      <c r="U398" s="31">
        <f t="shared" si="146"/>
        <v>-8.064425158935309E-4</v>
      </c>
      <c r="V398" s="31">
        <f t="shared" si="147"/>
        <v>-3.6289913215208894E-4</v>
      </c>
      <c r="W398" s="31">
        <f t="shared" si="148"/>
        <v>-6.8547613850950125E-4</v>
      </c>
      <c r="X398" s="31">
        <f t="shared" si="149"/>
        <v>-2.1505133757160827E-4</v>
      </c>
    </row>
    <row r="399" spans="1:24" ht="14.25" customHeight="1" x14ac:dyDescent="0.3">
      <c r="A399" s="2"/>
      <c r="B399" s="38">
        <v>75</v>
      </c>
      <c r="C399" s="10">
        <v>5.4</v>
      </c>
      <c r="D399" s="11">
        <v>3</v>
      </c>
      <c r="E399" s="11">
        <v>4.5</v>
      </c>
      <c r="F399" s="11">
        <v>1.5</v>
      </c>
      <c r="G399" s="39">
        <v>1</v>
      </c>
      <c r="I399" s="38">
        <f>I398-K2*T398</f>
        <v>0.30976201012289739</v>
      </c>
      <c r="J399" s="40">
        <f>J398-K2*U398</f>
        <v>-0.42030836499108831</v>
      </c>
      <c r="K399" s="40">
        <f>K398-K2*V398</f>
        <v>-0.24820787011582812</v>
      </c>
      <c r="L399" s="40">
        <f>L398-K2*W398</f>
        <v>1.2379822840282169</v>
      </c>
      <c r="M399" s="40">
        <f>M398-K2*X398</f>
        <v>0.85063292017163339</v>
      </c>
      <c r="N399" s="35">
        <f t="shared" si="140"/>
        <v>4.1423428872079615</v>
      </c>
      <c r="O399" s="35">
        <f t="shared" si="141"/>
        <v>0.98436281616043009</v>
      </c>
      <c r="P399" s="36">
        <f t="shared" si="142"/>
        <v>1</v>
      </c>
      <c r="Q399" s="36">
        <f t="shared" si="143"/>
        <v>-1.5637183839569913E-2</v>
      </c>
      <c r="R399" s="37">
        <f t="shared" si="144"/>
        <v>2.4452151843250644E-4</v>
      </c>
      <c r="T399" s="31">
        <f t="shared" si="145"/>
        <v>-4.8139578099209312E-4</v>
      </c>
      <c r="U399" s="31">
        <f t="shared" si="146"/>
        <v>-2.599537217357303E-3</v>
      </c>
      <c r="V399" s="31">
        <f t="shared" si="147"/>
        <v>-1.4441873429762793E-3</v>
      </c>
      <c r="W399" s="31">
        <f t="shared" si="148"/>
        <v>-2.1662810144644192E-3</v>
      </c>
      <c r="X399" s="31">
        <f t="shared" si="149"/>
        <v>-7.2209367148813965E-4</v>
      </c>
    </row>
    <row r="400" spans="1:24" ht="14.25" customHeight="1" x14ac:dyDescent="0.3">
      <c r="A400" s="2"/>
      <c r="B400" s="38">
        <v>76</v>
      </c>
      <c r="C400" s="10">
        <v>6</v>
      </c>
      <c r="D400" s="11">
        <v>3.4</v>
      </c>
      <c r="E400" s="11">
        <v>4.5</v>
      </c>
      <c r="F400" s="11">
        <v>1.6</v>
      </c>
      <c r="G400" s="39">
        <v>1</v>
      </c>
      <c r="I400" s="38">
        <f>I399-K2*T399</f>
        <v>0.30981014970099657</v>
      </c>
      <c r="J400" s="40">
        <f>J399-K2*U399</f>
        <v>-0.42004841126935261</v>
      </c>
      <c r="K400" s="40">
        <f>K399-K2*V399</f>
        <v>-0.24806345138153049</v>
      </c>
      <c r="L400" s="40">
        <f>L399-K2*W399</f>
        <v>1.2381989121296633</v>
      </c>
      <c r="M400" s="40">
        <f>M399-K2*X399</f>
        <v>0.85070512953878219</v>
      </c>
      <c r="N400" s="35">
        <f t="shared" si="140"/>
        <v>3.8791272592332131</v>
      </c>
      <c r="O400" s="35">
        <f t="shared" si="141"/>
        <v>0.97974969477431617</v>
      </c>
      <c r="P400" s="36">
        <f t="shared" si="142"/>
        <v>1</v>
      </c>
      <c r="Q400" s="36">
        <f t="shared" si="143"/>
        <v>-2.0250305225683829E-2</v>
      </c>
      <c r="R400" s="37">
        <f t="shared" si="144"/>
        <v>4.1007486173335781E-4</v>
      </c>
      <c r="T400" s="31">
        <f t="shared" si="145"/>
        <v>-8.0354144123575449E-4</v>
      </c>
      <c r="U400" s="31">
        <f t="shared" si="146"/>
        <v>-4.8212486474145267E-3</v>
      </c>
      <c r="V400" s="31">
        <f t="shared" si="147"/>
        <v>-2.732040900201565E-3</v>
      </c>
      <c r="W400" s="31">
        <f t="shared" si="148"/>
        <v>-3.615936485560895E-3</v>
      </c>
      <c r="X400" s="31">
        <f t="shared" si="149"/>
        <v>-1.2856663059772073E-3</v>
      </c>
    </row>
    <row r="401" spans="1:24" ht="14.25" customHeight="1" x14ac:dyDescent="0.3">
      <c r="A401" s="2"/>
      <c r="B401" s="38">
        <v>77</v>
      </c>
      <c r="C401" s="10">
        <v>6.7</v>
      </c>
      <c r="D401" s="11">
        <v>3.1</v>
      </c>
      <c r="E401" s="11">
        <v>4.7</v>
      </c>
      <c r="F401" s="11">
        <v>1.5</v>
      </c>
      <c r="G401" s="39">
        <v>1</v>
      </c>
      <c r="I401" s="38">
        <f>I400-K2*T400</f>
        <v>0.30989050384512012</v>
      </c>
      <c r="J401" s="40">
        <f>J400-K2*U400</f>
        <v>-0.41956628640461113</v>
      </c>
      <c r="K401" s="40">
        <f>K400-K2*V400</f>
        <v>-0.24779024729151033</v>
      </c>
      <c r="L401" s="40">
        <f>L400-K2*W400</f>
        <v>1.2385605057782194</v>
      </c>
      <c r="M401" s="40">
        <f>M400-K2*X400</f>
        <v>0.85083369616937987</v>
      </c>
      <c r="N401" s="35">
        <f t="shared" si="140"/>
        <v>3.8281315397422451</v>
      </c>
      <c r="O401" s="35">
        <f t="shared" si="141"/>
        <v>0.97871278445642318</v>
      </c>
      <c r="P401" s="36">
        <f t="shared" si="142"/>
        <v>1</v>
      </c>
      <c r="Q401" s="36">
        <f t="shared" si="143"/>
        <v>-2.1287215543576821E-2</v>
      </c>
      <c r="R401" s="37">
        <f t="shared" si="144"/>
        <v>4.5314554559869861E-4</v>
      </c>
      <c r="T401" s="31">
        <f t="shared" si="145"/>
        <v>-8.8699867739385483E-4</v>
      </c>
      <c r="U401" s="31">
        <f t="shared" si="146"/>
        <v>-5.9428911385388276E-3</v>
      </c>
      <c r="V401" s="31">
        <f t="shared" si="147"/>
        <v>-2.7496958999209502E-3</v>
      </c>
      <c r="W401" s="31">
        <f t="shared" si="148"/>
        <v>-4.1688937837511177E-3</v>
      </c>
      <c r="X401" s="31">
        <f t="shared" si="149"/>
        <v>-1.3304980160907822E-3</v>
      </c>
    </row>
    <row r="402" spans="1:24" ht="14.25" customHeight="1" x14ac:dyDescent="0.3">
      <c r="A402" s="2"/>
      <c r="B402" s="38">
        <v>78</v>
      </c>
      <c r="C402" s="10">
        <v>6.3</v>
      </c>
      <c r="D402" s="11">
        <v>2.2999999999999998</v>
      </c>
      <c r="E402" s="11">
        <v>4.4000000000000004</v>
      </c>
      <c r="F402" s="11">
        <v>1.3</v>
      </c>
      <c r="G402" s="39">
        <v>1</v>
      </c>
      <c r="I402" s="38">
        <f>I401-K2*T401</f>
        <v>0.30997920371285953</v>
      </c>
      <c r="J402" s="40">
        <f>J401-K2*U401</f>
        <v>-0.41897199729075724</v>
      </c>
      <c r="K402" s="40">
        <f>K401-K2*V401</f>
        <v>-0.24751527770151824</v>
      </c>
      <c r="L402" s="40">
        <f>L401-K2*W401</f>
        <v>1.2389773951565946</v>
      </c>
      <c r="M402" s="40">
        <f>M401-K2*X401</f>
        <v>0.85096674597098898</v>
      </c>
      <c r="N402" s="35">
        <f t="shared" si="140"/>
        <v>3.6589277905188995</v>
      </c>
      <c r="O402" s="35">
        <f t="shared" si="141"/>
        <v>0.97488680081141477</v>
      </c>
      <c r="P402" s="36">
        <f t="shared" si="142"/>
        <v>1</v>
      </c>
      <c r="Q402" s="36">
        <f t="shared" si="143"/>
        <v>-2.5113199188585233E-2</v>
      </c>
      <c r="R402" s="37">
        <f t="shared" si="144"/>
        <v>6.3067277348555803E-4</v>
      </c>
      <c r="T402" s="31">
        <f t="shared" si="145"/>
        <v>-1.2296691250043954E-3</v>
      </c>
      <c r="U402" s="31">
        <f t="shared" si="146"/>
        <v>-7.7469154875276901E-3</v>
      </c>
      <c r="V402" s="31">
        <f t="shared" si="147"/>
        <v>-2.8282389875101091E-3</v>
      </c>
      <c r="W402" s="31">
        <f t="shared" si="148"/>
        <v>-5.4105441500193405E-3</v>
      </c>
      <c r="X402" s="31">
        <f t="shared" si="149"/>
        <v>-1.598569862505714E-3</v>
      </c>
    </row>
    <row r="403" spans="1:24" ht="14.25" customHeight="1" x14ac:dyDescent="0.3">
      <c r="A403" s="2"/>
      <c r="B403" s="38">
        <v>79</v>
      </c>
      <c r="C403" s="10">
        <v>5.6</v>
      </c>
      <c r="D403" s="11">
        <v>3</v>
      </c>
      <c r="E403" s="11">
        <v>4.0999999999999996</v>
      </c>
      <c r="F403" s="11">
        <v>1.3</v>
      </c>
      <c r="G403" s="39">
        <v>1</v>
      </c>
      <c r="I403" s="38">
        <f>I402-K2*T402</f>
        <v>0.31010217062536</v>
      </c>
      <c r="J403" s="40">
        <f>J402-K2*U402</f>
        <v>-0.41819730574200448</v>
      </c>
      <c r="K403" s="40">
        <f>K402-K2*V402</f>
        <v>-0.24723245380276723</v>
      </c>
      <c r="L403" s="40">
        <f>L402-K2*W402</f>
        <v>1.2395184495715965</v>
      </c>
      <c r="M403" s="40">
        <f>M402-K2*X402</f>
        <v>0.85112660295723952</v>
      </c>
      <c r="N403" s="35">
        <f t="shared" si="140"/>
        <v>3.41499012414979</v>
      </c>
      <c r="O403" s="35">
        <f t="shared" si="141"/>
        <v>0.96816974341025075</v>
      </c>
      <c r="P403" s="36">
        <f t="shared" si="142"/>
        <v>1</v>
      </c>
      <c r="Q403" s="36">
        <f t="shared" si="143"/>
        <v>-3.1830256589749251E-2</v>
      </c>
      <c r="R403" s="37">
        <f t="shared" si="144"/>
        <v>1.0131652345692756E-3</v>
      </c>
      <c r="T403" s="31">
        <f t="shared" si="145"/>
        <v>-1.9618318503702441E-3</v>
      </c>
      <c r="U403" s="31">
        <f t="shared" si="146"/>
        <v>-1.0986258362073367E-2</v>
      </c>
      <c r="V403" s="31">
        <f t="shared" si="147"/>
        <v>-5.8854955511107327E-3</v>
      </c>
      <c r="W403" s="31">
        <f t="shared" si="148"/>
        <v>-8.0435105865179993E-3</v>
      </c>
      <c r="X403" s="31">
        <f t="shared" si="149"/>
        <v>-2.5503814054813174E-3</v>
      </c>
    </row>
    <row r="404" spans="1:24" ht="14.25" customHeight="1" x14ac:dyDescent="0.3">
      <c r="A404" s="2"/>
      <c r="B404" s="38">
        <v>80</v>
      </c>
      <c r="C404" s="10">
        <v>5.5</v>
      </c>
      <c r="D404" s="11">
        <v>2.5</v>
      </c>
      <c r="E404" s="11">
        <v>4</v>
      </c>
      <c r="F404" s="11">
        <v>1.3</v>
      </c>
      <c r="G404" s="39">
        <v>1</v>
      </c>
      <c r="H404" s="37">
        <f>SUMPRODUCT(--(P325:P404=G325:G404))/80</f>
        <v>0.98750000000000004</v>
      </c>
      <c r="I404" s="38">
        <f>I403-K2*T403</f>
        <v>0.310298353810397</v>
      </c>
      <c r="J404" s="40">
        <f>J403-K2*U403</f>
        <v>-0.41709867990579713</v>
      </c>
      <c r="K404" s="40">
        <f>K403-K2*V403</f>
        <v>-0.24664390424765617</v>
      </c>
      <c r="L404" s="40">
        <f>L403-K2*W403</f>
        <v>1.2403228006302482</v>
      </c>
      <c r="M404" s="40">
        <f>M403-K2*X403</f>
        <v>0.85138164109778769</v>
      </c>
      <c r="N404" s="35">
        <f t="shared" si="140"/>
        <v>3.4677331896574892</v>
      </c>
      <c r="O404" s="35">
        <f t="shared" si="141"/>
        <v>0.9697556044593495</v>
      </c>
      <c r="P404" s="36">
        <f t="shared" si="142"/>
        <v>1</v>
      </c>
      <c r="Q404" s="36">
        <f t="shared" si="143"/>
        <v>-3.0244395540650504E-2</v>
      </c>
      <c r="R404" s="37">
        <f t="shared" si="144"/>
        <v>9.1472346161932012E-4</v>
      </c>
      <c r="S404">
        <f>AVERAGE(R325:R404)</f>
        <v>1.2222388106167001E-2</v>
      </c>
      <c r="T404" s="31">
        <f t="shared" si="145"/>
        <v>-1.7741164068715847E-3</v>
      </c>
      <c r="U404" s="31">
        <f t="shared" si="146"/>
        <v>-9.757640237793715E-3</v>
      </c>
      <c r="V404" s="31">
        <f t="shared" si="147"/>
        <v>-4.4352910171789614E-3</v>
      </c>
      <c r="W404" s="31">
        <f t="shared" si="148"/>
        <v>-7.0964656274863386E-3</v>
      </c>
      <c r="X404" s="31">
        <f t="shared" si="149"/>
        <v>-2.3063513289330599E-3</v>
      </c>
    </row>
    <row r="405" spans="1:24" ht="14.25" customHeight="1" x14ac:dyDescent="0.3">
      <c r="P405" s="18"/>
      <c r="Q405" s="18"/>
      <c r="R405" s="18"/>
    </row>
    <row r="406" spans="1:24" ht="14.25" customHeight="1" x14ac:dyDescent="0.3">
      <c r="P406" s="18"/>
      <c r="Q406" s="18"/>
      <c r="R406" s="18"/>
    </row>
    <row r="407" spans="1:24" ht="14.25" customHeight="1" x14ac:dyDescent="0.3">
      <c r="P407" s="18"/>
      <c r="Q407" s="18"/>
      <c r="R407" s="18"/>
    </row>
    <row r="408" spans="1:24" ht="14.25" customHeight="1" x14ac:dyDescent="0.3">
      <c r="P408" s="18"/>
      <c r="Q408" s="18"/>
      <c r="R408" s="18"/>
    </row>
    <row r="409" spans="1:24" ht="14.25" customHeight="1" x14ac:dyDescent="0.3">
      <c r="P409" s="18"/>
      <c r="Q409" s="18"/>
      <c r="R409" s="18"/>
    </row>
    <row r="410" spans="1:24" ht="14.25" customHeight="1" x14ac:dyDescent="0.3">
      <c r="P410" s="18"/>
      <c r="Q410" s="18"/>
      <c r="R410" s="18"/>
    </row>
    <row r="411" spans="1:24" ht="14.25" customHeight="1" x14ac:dyDescent="0.3">
      <c r="P411" s="18"/>
      <c r="Q411" s="18"/>
      <c r="R411" s="18"/>
    </row>
    <row r="412" spans="1:24" ht="14.25" customHeight="1" x14ac:dyDescent="0.3">
      <c r="P412" s="18"/>
      <c r="Q412" s="18"/>
      <c r="R412" s="18"/>
    </row>
    <row r="413" spans="1:24" ht="14.25" customHeight="1" x14ac:dyDescent="0.3">
      <c r="P413" s="18"/>
      <c r="Q413" s="18"/>
      <c r="R413" s="18"/>
    </row>
    <row r="414" spans="1:24" ht="14.25" customHeight="1" x14ac:dyDescent="0.3">
      <c r="P414" s="18"/>
      <c r="Q414" s="18"/>
      <c r="R414" s="18"/>
    </row>
    <row r="415" spans="1:24" ht="14.25" customHeight="1" x14ac:dyDescent="0.3">
      <c r="P415" s="18"/>
      <c r="Q415" s="18"/>
      <c r="R415" s="18"/>
    </row>
    <row r="416" spans="1:24" ht="14.25" customHeight="1" x14ac:dyDescent="0.3">
      <c r="P416" s="18"/>
      <c r="Q416" s="18"/>
      <c r="R416" s="18"/>
    </row>
    <row r="417" spans="16:18" ht="14.25" customHeight="1" x14ac:dyDescent="0.3">
      <c r="P417" s="18"/>
      <c r="Q417" s="18"/>
      <c r="R417" s="18"/>
    </row>
    <row r="418" spans="16:18" ht="14.25" customHeight="1" x14ac:dyDescent="0.3">
      <c r="P418" s="18"/>
      <c r="Q418" s="18"/>
      <c r="R418" s="18"/>
    </row>
    <row r="419" spans="16:18" ht="14.25" customHeight="1" x14ac:dyDescent="0.3">
      <c r="P419" s="18"/>
      <c r="Q419" s="18"/>
      <c r="R419" s="18"/>
    </row>
    <row r="420" spans="16:18" ht="14.25" customHeight="1" x14ac:dyDescent="0.3">
      <c r="P420" s="18"/>
      <c r="Q420" s="18"/>
      <c r="R420" s="18"/>
    </row>
    <row r="421" spans="16:18" ht="14.25" customHeight="1" x14ac:dyDescent="0.3">
      <c r="P421" s="18"/>
      <c r="Q421" s="18"/>
      <c r="R421" s="18"/>
    </row>
    <row r="422" spans="16:18" ht="14.25" customHeight="1" x14ac:dyDescent="0.3">
      <c r="P422" s="18"/>
      <c r="Q422" s="18"/>
      <c r="R422" s="18"/>
    </row>
    <row r="423" spans="16:18" ht="14.25" customHeight="1" x14ac:dyDescent="0.3">
      <c r="P423" s="18"/>
      <c r="Q423" s="18"/>
      <c r="R423" s="18"/>
    </row>
    <row r="424" spans="16:18" ht="14.25" customHeight="1" x14ac:dyDescent="0.3">
      <c r="P424" s="18"/>
      <c r="Q424" s="18"/>
      <c r="R424" s="18"/>
    </row>
    <row r="425" spans="16:18" ht="14.25" customHeight="1" x14ac:dyDescent="0.3">
      <c r="P425" s="18"/>
      <c r="Q425" s="18"/>
      <c r="R425" s="18"/>
    </row>
    <row r="426" spans="16:18" ht="14.25" customHeight="1" x14ac:dyDescent="0.3">
      <c r="P426" s="18"/>
      <c r="Q426" s="18"/>
      <c r="R426" s="18"/>
    </row>
    <row r="427" spans="16:18" ht="14.25" customHeight="1" x14ac:dyDescent="0.3">
      <c r="P427" s="18"/>
      <c r="Q427" s="18"/>
      <c r="R427" s="18"/>
    </row>
    <row r="428" spans="16:18" ht="14.25" customHeight="1" x14ac:dyDescent="0.3">
      <c r="P428" s="18"/>
      <c r="Q428" s="18"/>
      <c r="R428" s="18"/>
    </row>
    <row r="429" spans="16:18" ht="14.25" customHeight="1" x14ac:dyDescent="0.3">
      <c r="P429" s="18"/>
      <c r="Q429" s="18"/>
      <c r="R429" s="18"/>
    </row>
    <row r="430" spans="16:18" ht="14.25" customHeight="1" x14ac:dyDescent="0.3">
      <c r="P430" s="18"/>
      <c r="Q430" s="18"/>
      <c r="R430" s="18"/>
    </row>
    <row r="431" spans="16:18" ht="14.25" customHeight="1" x14ac:dyDescent="0.3">
      <c r="P431" s="18"/>
      <c r="Q431" s="18"/>
      <c r="R431" s="18"/>
    </row>
    <row r="432" spans="16:18" ht="14.25" customHeight="1" x14ac:dyDescent="0.3">
      <c r="P432" s="18"/>
      <c r="Q432" s="18"/>
      <c r="R432" s="18"/>
    </row>
    <row r="433" spans="16:18" ht="14.25" customHeight="1" x14ac:dyDescent="0.3">
      <c r="P433" s="18"/>
      <c r="Q433" s="18"/>
      <c r="R433" s="18"/>
    </row>
    <row r="434" spans="16:18" ht="14.25" customHeight="1" x14ac:dyDescent="0.3">
      <c r="P434" s="18"/>
      <c r="Q434" s="18"/>
      <c r="R434" s="18"/>
    </row>
    <row r="435" spans="16:18" ht="14.25" customHeight="1" x14ac:dyDescent="0.3">
      <c r="P435" s="18"/>
      <c r="Q435" s="18"/>
      <c r="R435" s="18"/>
    </row>
    <row r="436" spans="16:18" ht="14.25" customHeight="1" x14ac:dyDescent="0.3">
      <c r="P436" s="18"/>
      <c r="Q436" s="18"/>
      <c r="R436" s="18"/>
    </row>
    <row r="437" spans="16:18" ht="14.25" customHeight="1" x14ac:dyDescent="0.3">
      <c r="P437" s="18"/>
      <c r="Q437" s="18"/>
      <c r="R437" s="18"/>
    </row>
    <row r="438" spans="16:18" ht="14.25" customHeight="1" x14ac:dyDescent="0.3">
      <c r="P438" s="18"/>
      <c r="Q438" s="18"/>
      <c r="R438" s="18"/>
    </row>
    <row r="439" spans="16:18" ht="14.25" customHeight="1" x14ac:dyDescent="0.3">
      <c r="P439" s="18"/>
      <c r="Q439" s="18"/>
      <c r="R439" s="18"/>
    </row>
    <row r="440" spans="16:18" ht="14.25" customHeight="1" x14ac:dyDescent="0.3">
      <c r="P440" s="18"/>
      <c r="Q440" s="18"/>
      <c r="R440" s="18"/>
    </row>
    <row r="441" spans="16:18" ht="14.25" customHeight="1" x14ac:dyDescent="0.3">
      <c r="P441" s="18"/>
      <c r="Q441" s="18"/>
      <c r="R441" s="18"/>
    </row>
    <row r="442" spans="16:18" ht="14.25" customHeight="1" x14ac:dyDescent="0.3">
      <c r="P442" s="18"/>
      <c r="Q442" s="18"/>
      <c r="R442" s="18"/>
    </row>
    <row r="443" spans="16:18" ht="14.25" customHeight="1" x14ac:dyDescent="0.3">
      <c r="P443" s="18"/>
      <c r="Q443" s="18"/>
      <c r="R443" s="18"/>
    </row>
    <row r="444" spans="16:18" ht="14.25" customHeight="1" x14ac:dyDescent="0.3">
      <c r="P444" s="18"/>
      <c r="Q444" s="18"/>
      <c r="R444" s="18"/>
    </row>
    <row r="445" spans="16:18" ht="14.25" customHeight="1" x14ac:dyDescent="0.3">
      <c r="P445" s="18"/>
      <c r="Q445" s="18"/>
      <c r="R445" s="18"/>
    </row>
    <row r="446" spans="16:18" ht="14.25" customHeight="1" x14ac:dyDescent="0.3">
      <c r="P446" s="18"/>
      <c r="Q446" s="18"/>
      <c r="R446" s="18"/>
    </row>
    <row r="447" spans="16:18" ht="14.25" customHeight="1" x14ac:dyDescent="0.3">
      <c r="P447" s="18"/>
      <c r="Q447" s="18"/>
      <c r="R447" s="18"/>
    </row>
    <row r="448" spans="16:18" ht="14.25" customHeight="1" x14ac:dyDescent="0.3">
      <c r="P448" s="18"/>
      <c r="Q448" s="18"/>
      <c r="R448" s="18"/>
    </row>
    <row r="449" spans="16:18" ht="14.25" customHeight="1" x14ac:dyDescent="0.3">
      <c r="P449" s="18"/>
      <c r="Q449" s="18"/>
      <c r="R449" s="18"/>
    </row>
    <row r="450" spans="16:18" ht="14.25" customHeight="1" x14ac:dyDescent="0.3">
      <c r="P450" s="18"/>
      <c r="Q450" s="18"/>
      <c r="R450" s="18"/>
    </row>
    <row r="451" spans="16:18" ht="14.25" customHeight="1" x14ac:dyDescent="0.3">
      <c r="P451" s="18"/>
      <c r="Q451" s="18"/>
      <c r="R451" s="18"/>
    </row>
    <row r="452" spans="16:18" ht="14.25" customHeight="1" x14ac:dyDescent="0.3">
      <c r="P452" s="18"/>
      <c r="Q452" s="18"/>
      <c r="R452" s="18"/>
    </row>
    <row r="453" spans="16:18" ht="14.25" customHeight="1" x14ac:dyDescent="0.3">
      <c r="P453" s="18"/>
      <c r="Q453" s="18"/>
      <c r="R453" s="18"/>
    </row>
    <row r="454" spans="16:18" ht="14.25" customHeight="1" x14ac:dyDescent="0.3">
      <c r="P454" s="18"/>
      <c r="Q454" s="18"/>
      <c r="R454" s="18"/>
    </row>
    <row r="455" spans="16:18" ht="14.25" customHeight="1" x14ac:dyDescent="0.3">
      <c r="P455" s="18"/>
      <c r="Q455" s="18"/>
      <c r="R455" s="18"/>
    </row>
    <row r="456" spans="16:18" ht="14.25" customHeight="1" x14ac:dyDescent="0.3">
      <c r="P456" s="18"/>
      <c r="Q456" s="18"/>
      <c r="R456" s="18"/>
    </row>
    <row r="457" spans="16:18" ht="14.25" customHeight="1" x14ac:dyDescent="0.3">
      <c r="P457" s="18"/>
      <c r="Q457" s="18"/>
      <c r="R457" s="18"/>
    </row>
    <row r="458" spans="16:18" ht="14.25" customHeight="1" x14ac:dyDescent="0.3">
      <c r="P458" s="18"/>
      <c r="Q458" s="18"/>
      <c r="R458" s="18"/>
    </row>
    <row r="459" spans="16:18" ht="14.25" customHeight="1" x14ac:dyDescent="0.3">
      <c r="P459" s="18"/>
      <c r="Q459" s="18"/>
      <c r="R459" s="18"/>
    </row>
    <row r="460" spans="16:18" ht="14.25" customHeight="1" x14ac:dyDescent="0.3">
      <c r="P460" s="18"/>
      <c r="Q460" s="18"/>
      <c r="R460" s="18"/>
    </row>
    <row r="461" spans="16:18" ht="14.25" customHeight="1" x14ac:dyDescent="0.3">
      <c r="P461" s="18"/>
      <c r="Q461" s="18"/>
      <c r="R461" s="18"/>
    </row>
    <row r="462" spans="16:18" ht="14.25" customHeight="1" x14ac:dyDescent="0.3">
      <c r="P462" s="18"/>
      <c r="Q462" s="18"/>
      <c r="R462" s="18"/>
    </row>
    <row r="463" spans="16:18" ht="14.25" customHeight="1" x14ac:dyDescent="0.3">
      <c r="P463" s="18"/>
      <c r="Q463" s="18"/>
      <c r="R463" s="18"/>
    </row>
    <row r="464" spans="16:18" ht="14.25" customHeight="1" x14ac:dyDescent="0.3">
      <c r="P464" s="18"/>
      <c r="Q464" s="18"/>
      <c r="R464" s="18"/>
    </row>
    <row r="465" spans="16:18" ht="14.25" customHeight="1" x14ac:dyDescent="0.3">
      <c r="P465" s="18"/>
      <c r="Q465" s="18"/>
      <c r="R465" s="18"/>
    </row>
    <row r="466" spans="16:18" ht="14.25" customHeight="1" x14ac:dyDescent="0.3">
      <c r="P466" s="18"/>
      <c r="Q466" s="18"/>
      <c r="R466" s="18"/>
    </row>
    <row r="467" spans="16:18" ht="14.25" customHeight="1" x14ac:dyDescent="0.3">
      <c r="P467" s="18"/>
      <c r="Q467" s="18"/>
      <c r="R467" s="18"/>
    </row>
    <row r="468" spans="16:18" ht="14.25" customHeight="1" x14ac:dyDescent="0.3">
      <c r="P468" s="18"/>
      <c r="Q468" s="18"/>
      <c r="R468" s="18"/>
    </row>
    <row r="469" spans="16:18" ht="14.25" customHeight="1" x14ac:dyDescent="0.3">
      <c r="P469" s="18"/>
      <c r="Q469" s="18"/>
      <c r="R469" s="18"/>
    </row>
    <row r="470" spans="16:18" ht="14.25" customHeight="1" x14ac:dyDescent="0.3">
      <c r="P470" s="18"/>
      <c r="Q470" s="18"/>
      <c r="R470" s="18"/>
    </row>
    <row r="471" spans="16:18" ht="14.25" customHeight="1" x14ac:dyDescent="0.3">
      <c r="P471" s="18"/>
      <c r="Q471" s="18"/>
      <c r="R471" s="18"/>
    </row>
    <row r="472" spans="16:18" ht="14.25" customHeight="1" x14ac:dyDescent="0.3">
      <c r="P472" s="18"/>
      <c r="Q472" s="18"/>
      <c r="R472" s="18"/>
    </row>
    <row r="473" spans="16:18" ht="14.25" customHeight="1" x14ac:dyDescent="0.3">
      <c r="P473" s="18"/>
      <c r="Q473" s="18"/>
      <c r="R473" s="18"/>
    </row>
    <row r="474" spans="16:18" ht="14.25" customHeight="1" x14ac:dyDescent="0.3">
      <c r="P474" s="18"/>
      <c r="Q474" s="18"/>
      <c r="R474" s="18"/>
    </row>
    <row r="475" spans="16:18" ht="14.25" customHeight="1" x14ac:dyDescent="0.3">
      <c r="P475" s="18"/>
      <c r="Q475" s="18"/>
      <c r="R475" s="18"/>
    </row>
    <row r="476" spans="16:18" ht="14.25" customHeight="1" x14ac:dyDescent="0.3">
      <c r="P476" s="18"/>
      <c r="Q476" s="18"/>
      <c r="R476" s="18"/>
    </row>
    <row r="477" spans="16:18" ht="14.25" customHeight="1" x14ac:dyDescent="0.3">
      <c r="P477" s="18"/>
      <c r="Q477" s="18"/>
      <c r="R477" s="18"/>
    </row>
    <row r="478" spans="16:18" ht="14.25" customHeight="1" x14ac:dyDescent="0.3">
      <c r="P478" s="18"/>
      <c r="Q478" s="18"/>
      <c r="R478" s="18"/>
    </row>
    <row r="479" spans="16:18" ht="14.25" customHeight="1" x14ac:dyDescent="0.3">
      <c r="P479" s="18"/>
      <c r="Q479" s="18"/>
      <c r="R479" s="18"/>
    </row>
    <row r="480" spans="16:18" ht="14.25" customHeight="1" x14ac:dyDescent="0.3">
      <c r="P480" s="18"/>
      <c r="Q480" s="18"/>
      <c r="R480" s="18"/>
    </row>
    <row r="481" spans="16:18" ht="14.25" customHeight="1" x14ac:dyDescent="0.3">
      <c r="P481" s="18"/>
      <c r="Q481" s="18"/>
      <c r="R481" s="18"/>
    </row>
    <row r="482" spans="16:18" ht="14.25" customHeight="1" x14ac:dyDescent="0.3">
      <c r="P482" s="18"/>
      <c r="Q482" s="18"/>
      <c r="R482" s="18"/>
    </row>
    <row r="483" spans="16:18" ht="14.25" customHeight="1" x14ac:dyDescent="0.3">
      <c r="P483" s="18"/>
      <c r="Q483" s="18"/>
      <c r="R483" s="18"/>
    </row>
    <row r="484" spans="16:18" ht="14.25" customHeight="1" x14ac:dyDescent="0.3">
      <c r="P484" s="18"/>
      <c r="Q484" s="18"/>
      <c r="R484" s="18"/>
    </row>
    <row r="485" spans="16:18" ht="14.25" customHeight="1" x14ac:dyDescent="0.3">
      <c r="P485" s="18"/>
      <c r="Q485" s="18"/>
      <c r="R485" s="18"/>
    </row>
    <row r="486" spans="16:18" ht="14.25" customHeight="1" x14ac:dyDescent="0.3">
      <c r="P486" s="18"/>
      <c r="Q486" s="18"/>
      <c r="R486" s="18"/>
    </row>
    <row r="487" spans="16:18" ht="14.25" customHeight="1" x14ac:dyDescent="0.3">
      <c r="P487" s="18"/>
      <c r="Q487" s="18"/>
      <c r="R487" s="18"/>
    </row>
    <row r="488" spans="16:18" ht="14.25" customHeight="1" x14ac:dyDescent="0.3">
      <c r="P488" s="18"/>
      <c r="Q488" s="18"/>
      <c r="R488" s="18"/>
    </row>
    <row r="489" spans="16:18" ht="14.25" customHeight="1" x14ac:dyDescent="0.3">
      <c r="P489" s="18"/>
      <c r="Q489" s="18"/>
      <c r="R489" s="18"/>
    </row>
    <row r="490" spans="16:18" ht="14.25" customHeight="1" x14ac:dyDescent="0.3">
      <c r="P490" s="18"/>
      <c r="Q490" s="18"/>
      <c r="R490" s="18"/>
    </row>
    <row r="491" spans="16:18" ht="14.25" customHeight="1" x14ac:dyDescent="0.3">
      <c r="P491" s="18"/>
      <c r="Q491" s="18"/>
      <c r="R491" s="18"/>
    </row>
    <row r="492" spans="16:18" ht="14.25" customHeight="1" x14ac:dyDescent="0.3">
      <c r="P492" s="18"/>
      <c r="Q492" s="18"/>
      <c r="R492" s="18"/>
    </row>
    <row r="493" spans="16:18" ht="14.25" customHeight="1" x14ac:dyDescent="0.3">
      <c r="P493" s="18"/>
      <c r="Q493" s="18"/>
      <c r="R493" s="18"/>
    </row>
    <row r="494" spans="16:18" ht="14.25" customHeight="1" x14ac:dyDescent="0.3">
      <c r="P494" s="18"/>
      <c r="Q494" s="18"/>
      <c r="R494" s="18"/>
    </row>
    <row r="495" spans="16:18" ht="14.25" customHeight="1" x14ac:dyDescent="0.3">
      <c r="P495" s="18"/>
      <c r="Q495" s="18"/>
      <c r="R495" s="18"/>
    </row>
    <row r="496" spans="16:18" ht="14.25" customHeight="1" x14ac:dyDescent="0.3">
      <c r="P496" s="18"/>
      <c r="Q496" s="18"/>
      <c r="R496" s="18"/>
    </row>
    <row r="497" spans="16:18" ht="14.25" customHeight="1" x14ac:dyDescent="0.3">
      <c r="P497" s="18"/>
      <c r="Q497" s="18"/>
      <c r="R497" s="18"/>
    </row>
    <row r="498" spans="16:18" ht="14.25" customHeight="1" x14ac:dyDescent="0.3">
      <c r="P498" s="18"/>
      <c r="Q498" s="18"/>
      <c r="R498" s="18"/>
    </row>
    <row r="499" spans="16:18" ht="14.25" customHeight="1" x14ac:dyDescent="0.3">
      <c r="P499" s="18"/>
      <c r="Q499" s="18"/>
      <c r="R499" s="18"/>
    </row>
    <row r="500" spans="16:18" ht="14.25" customHeight="1" x14ac:dyDescent="0.3">
      <c r="P500" s="18"/>
      <c r="Q500" s="18"/>
      <c r="R500" s="18"/>
    </row>
    <row r="501" spans="16:18" ht="14.25" customHeight="1" x14ac:dyDescent="0.3">
      <c r="P501" s="18"/>
      <c r="Q501" s="18"/>
      <c r="R501" s="18"/>
    </row>
    <row r="502" spans="16:18" ht="14.25" customHeight="1" x14ac:dyDescent="0.3">
      <c r="P502" s="18"/>
      <c r="Q502" s="18"/>
      <c r="R502" s="18"/>
    </row>
    <row r="503" spans="16:18" ht="14.25" customHeight="1" x14ac:dyDescent="0.3">
      <c r="P503" s="18"/>
      <c r="Q503" s="18"/>
      <c r="R503" s="18"/>
    </row>
    <row r="504" spans="16:18" ht="14.25" customHeight="1" x14ac:dyDescent="0.3">
      <c r="P504" s="18"/>
      <c r="Q504" s="18"/>
      <c r="R504" s="18"/>
    </row>
    <row r="505" spans="16:18" ht="14.25" customHeight="1" x14ac:dyDescent="0.3">
      <c r="P505" s="18"/>
      <c r="Q505" s="18"/>
      <c r="R505" s="18"/>
    </row>
    <row r="506" spans="16:18" ht="14.25" customHeight="1" x14ac:dyDescent="0.3">
      <c r="P506" s="18"/>
      <c r="Q506" s="18"/>
      <c r="R506" s="18"/>
    </row>
    <row r="507" spans="16:18" ht="14.25" customHeight="1" x14ac:dyDescent="0.3">
      <c r="P507" s="18"/>
      <c r="Q507" s="18"/>
      <c r="R507" s="18"/>
    </row>
    <row r="508" spans="16:18" ht="14.25" customHeight="1" x14ac:dyDescent="0.3">
      <c r="P508" s="18"/>
      <c r="Q508" s="18"/>
      <c r="R508" s="18"/>
    </row>
    <row r="509" spans="16:18" ht="14.25" customHeight="1" x14ac:dyDescent="0.3">
      <c r="P509" s="18"/>
      <c r="Q509" s="18"/>
      <c r="R509" s="18"/>
    </row>
    <row r="510" spans="16:18" ht="14.25" customHeight="1" x14ac:dyDescent="0.3">
      <c r="P510" s="18"/>
      <c r="Q510" s="18"/>
      <c r="R510" s="18"/>
    </row>
    <row r="511" spans="16:18" ht="14.25" customHeight="1" x14ac:dyDescent="0.3">
      <c r="P511" s="18"/>
      <c r="Q511" s="18"/>
      <c r="R511" s="18"/>
    </row>
    <row r="512" spans="16:18" ht="14.25" customHeight="1" x14ac:dyDescent="0.3">
      <c r="P512" s="18"/>
      <c r="Q512" s="18"/>
      <c r="R512" s="18"/>
    </row>
    <row r="513" spans="16:18" ht="14.25" customHeight="1" x14ac:dyDescent="0.3">
      <c r="P513" s="18"/>
      <c r="Q513" s="18"/>
      <c r="R513" s="18"/>
    </row>
    <row r="514" spans="16:18" ht="14.25" customHeight="1" x14ac:dyDescent="0.3">
      <c r="P514" s="18"/>
      <c r="Q514" s="18"/>
      <c r="R514" s="18"/>
    </row>
    <row r="515" spans="16:18" ht="14.25" customHeight="1" x14ac:dyDescent="0.3">
      <c r="P515" s="18"/>
      <c r="Q515" s="18"/>
      <c r="R515" s="18"/>
    </row>
    <row r="516" spans="16:18" ht="14.25" customHeight="1" x14ac:dyDescent="0.3">
      <c r="P516" s="18"/>
      <c r="Q516" s="18"/>
      <c r="R516" s="18"/>
    </row>
    <row r="517" spans="16:18" ht="14.25" customHeight="1" x14ac:dyDescent="0.3">
      <c r="P517" s="18"/>
      <c r="Q517" s="18"/>
      <c r="R517" s="18"/>
    </row>
    <row r="518" spans="16:18" ht="14.25" customHeight="1" x14ac:dyDescent="0.3">
      <c r="P518" s="18"/>
      <c r="Q518" s="18"/>
      <c r="R518" s="18"/>
    </row>
    <row r="519" spans="16:18" ht="14.25" customHeight="1" x14ac:dyDescent="0.3">
      <c r="P519" s="18"/>
      <c r="Q519" s="18"/>
      <c r="R519" s="18"/>
    </row>
    <row r="520" spans="16:18" ht="14.25" customHeight="1" x14ac:dyDescent="0.3">
      <c r="P520" s="18"/>
      <c r="Q520" s="18"/>
      <c r="R520" s="18"/>
    </row>
    <row r="521" spans="16:18" ht="14.25" customHeight="1" x14ac:dyDescent="0.3">
      <c r="P521" s="18"/>
      <c r="Q521" s="18"/>
      <c r="R521" s="18"/>
    </row>
    <row r="522" spans="16:18" ht="14.25" customHeight="1" x14ac:dyDescent="0.3">
      <c r="P522" s="18"/>
      <c r="Q522" s="18"/>
      <c r="R522" s="18"/>
    </row>
    <row r="523" spans="16:18" ht="14.25" customHeight="1" x14ac:dyDescent="0.3">
      <c r="P523" s="18"/>
      <c r="Q523" s="18"/>
      <c r="R523" s="18"/>
    </row>
    <row r="524" spans="16:18" ht="14.25" customHeight="1" x14ac:dyDescent="0.3">
      <c r="P524" s="18"/>
      <c r="Q524" s="18"/>
      <c r="R524" s="18"/>
    </row>
    <row r="525" spans="16:18" ht="14.25" customHeight="1" x14ac:dyDescent="0.3">
      <c r="P525" s="18"/>
      <c r="Q525" s="18"/>
      <c r="R525" s="18"/>
    </row>
    <row r="526" spans="16:18" ht="14.25" customHeight="1" x14ac:dyDescent="0.3">
      <c r="P526" s="18"/>
      <c r="Q526" s="18"/>
      <c r="R526" s="18"/>
    </row>
    <row r="527" spans="16:18" ht="14.25" customHeight="1" x14ac:dyDescent="0.3">
      <c r="P527" s="18"/>
      <c r="Q527" s="18"/>
      <c r="R527" s="18"/>
    </row>
    <row r="528" spans="16:18" ht="14.25" customHeight="1" x14ac:dyDescent="0.3">
      <c r="P528" s="18"/>
      <c r="Q528" s="18"/>
      <c r="R528" s="18"/>
    </row>
    <row r="529" spans="16:18" ht="14.25" customHeight="1" x14ac:dyDescent="0.3">
      <c r="P529" s="18"/>
      <c r="Q529" s="18"/>
      <c r="R529" s="18"/>
    </row>
    <row r="530" spans="16:18" ht="14.25" customHeight="1" x14ac:dyDescent="0.3">
      <c r="P530" s="18"/>
      <c r="Q530" s="18"/>
      <c r="R530" s="18"/>
    </row>
    <row r="531" spans="16:18" ht="14.25" customHeight="1" x14ac:dyDescent="0.3">
      <c r="P531" s="18"/>
      <c r="Q531" s="18"/>
      <c r="R531" s="18"/>
    </row>
    <row r="532" spans="16:18" ht="14.25" customHeight="1" x14ac:dyDescent="0.3">
      <c r="P532" s="18"/>
      <c r="Q532" s="18"/>
      <c r="R532" s="18"/>
    </row>
    <row r="533" spans="16:18" ht="14.25" customHeight="1" x14ac:dyDescent="0.3">
      <c r="P533" s="18"/>
      <c r="Q533" s="18"/>
      <c r="R533" s="18"/>
    </row>
    <row r="534" spans="16:18" ht="14.25" customHeight="1" x14ac:dyDescent="0.3">
      <c r="P534" s="18"/>
      <c r="Q534" s="18"/>
      <c r="R534" s="18"/>
    </row>
    <row r="535" spans="16:18" ht="14.25" customHeight="1" x14ac:dyDescent="0.3">
      <c r="P535" s="18"/>
      <c r="Q535" s="18"/>
      <c r="R535" s="18"/>
    </row>
    <row r="536" spans="16:18" ht="14.25" customHeight="1" x14ac:dyDescent="0.3">
      <c r="P536" s="18"/>
      <c r="Q536" s="18"/>
      <c r="R536" s="18"/>
    </row>
    <row r="537" spans="16:18" ht="14.25" customHeight="1" x14ac:dyDescent="0.3">
      <c r="P537" s="18"/>
      <c r="Q537" s="18"/>
      <c r="R537" s="18"/>
    </row>
    <row r="538" spans="16:18" ht="14.25" customHeight="1" x14ac:dyDescent="0.3">
      <c r="P538" s="18"/>
      <c r="Q538" s="18"/>
      <c r="R538" s="18"/>
    </row>
    <row r="539" spans="16:18" ht="14.25" customHeight="1" x14ac:dyDescent="0.3">
      <c r="P539" s="18"/>
      <c r="Q539" s="18"/>
      <c r="R539" s="18"/>
    </row>
    <row r="540" spans="16:18" ht="14.25" customHeight="1" x14ac:dyDescent="0.3">
      <c r="P540" s="18"/>
      <c r="Q540" s="18"/>
      <c r="R540" s="18"/>
    </row>
    <row r="541" spans="16:18" ht="14.25" customHeight="1" x14ac:dyDescent="0.3">
      <c r="P541" s="18"/>
      <c r="Q541" s="18"/>
      <c r="R541" s="18"/>
    </row>
    <row r="542" spans="16:18" ht="14.25" customHeight="1" x14ac:dyDescent="0.3">
      <c r="P542" s="18"/>
      <c r="Q542" s="18"/>
      <c r="R542" s="18"/>
    </row>
    <row r="543" spans="16:18" ht="14.25" customHeight="1" x14ac:dyDescent="0.3">
      <c r="P543" s="18"/>
      <c r="Q543" s="18"/>
      <c r="R543" s="18"/>
    </row>
    <row r="544" spans="16:18" ht="14.25" customHeight="1" x14ac:dyDescent="0.3">
      <c r="P544" s="18"/>
      <c r="Q544" s="18"/>
      <c r="R544" s="18"/>
    </row>
    <row r="545" spans="16:18" ht="14.25" customHeight="1" x14ac:dyDescent="0.3">
      <c r="P545" s="18"/>
      <c r="Q545" s="18"/>
      <c r="R545" s="18"/>
    </row>
    <row r="546" spans="16:18" ht="14.25" customHeight="1" x14ac:dyDescent="0.3">
      <c r="P546" s="18"/>
      <c r="Q546" s="18"/>
      <c r="R546" s="18"/>
    </row>
    <row r="547" spans="16:18" ht="14.25" customHeight="1" x14ac:dyDescent="0.3">
      <c r="P547" s="18"/>
      <c r="Q547" s="18"/>
      <c r="R547" s="18"/>
    </row>
    <row r="548" spans="16:18" ht="14.25" customHeight="1" x14ac:dyDescent="0.3">
      <c r="P548" s="18"/>
      <c r="Q548" s="18"/>
      <c r="R548" s="18"/>
    </row>
    <row r="549" spans="16:18" ht="14.25" customHeight="1" x14ac:dyDescent="0.3">
      <c r="P549" s="18"/>
      <c r="Q549" s="18"/>
      <c r="R549" s="18"/>
    </row>
    <row r="550" spans="16:18" ht="14.25" customHeight="1" x14ac:dyDescent="0.3">
      <c r="P550" s="18"/>
      <c r="Q550" s="18"/>
      <c r="R550" s="18"/>
    </row>
    <row r="551" spans="16:18" ht="14.25" customHeight="1" x14ac:dyDescent="0.3">
      <c r="P551" s="18"/>
      <c r="Q551" s="18"/>
      <c r="R551" s="18"/>
    </row>
    <row r="552" spans="16:18" ht="14.25" customHeight="1" x14ac:dyDescent="0.3">
      <c r="P552" s="18"/>
      <c r="Q552" s="18"/>
      <c r="R552" s="18"/>
    </row>
    <row r="553" spans="16:18" ht="14.25" customHeight="1" x14ac:dyDescent="0.3">
      <c r="P553" s="18"/>
      <c r="Q553" s="18"/>
      <c r="R553" s="18"/>
    </row>
    <row r="554" spans="16:18" ht="14.25" customHeight="1" x14ac:dyDescent="0.3">
      <c r="P554" s="18"/>
      <c r="Q554" s="18"/>
      <c r="R554" s="18"/>
    </row>
    <row r="555" spans="16:18" ht="14.25" customHeight="1" x14ac:dyDescent="0.3">
      <c r="P555" s="18"/>
      <c r="Q555" s="18"/>
      <c r="R555" s="18"/>
    </row>
    <row r="556" spans="16:18" ht="14.25" customHeight="1" x14ac:dyDescent="0.3">
      <c r="P556" s="18"/>
      <c r="Q556" s="18"/>
      <c r="R556" s="18"/>
    </row>
    <row r="557" spans="16:18" ht="14.25" customHeight="1" x14ac:dyDescent="0.3">
      <c r="P557" s="18"/>
      <c r="Q557" s="18"/>
      <c r="R557" s="18"/>
    </row>
    <row r="558" spans="16:18" ht="14.25" customHeight="1" x14ac:dyDescent="0.3">
      <c r="P558" s="18"/>
      <c r="Q558" s="18"/>
      <c r="R558" s="18"/>
    </row>
    <row r="559" spans="16:18" ht="14.25" customHeight="1" x14ac:dyDescent="0.3">
      <c r="P559" s="18"/>
      <c r="Q559" s="18"/>
      <c r="R559" s="18"/>
    </row>
    <row r="560" spans="16:18" ht="14.25" customHeight="1" x14ac:dyDescent="0.3">
      <c r="P560" s="18"/>
      <c r="Q560" s="18"/>
      <c r="R560" s="18"/>
    </row>
    <row r="561" spans="16:18" ht="14.25" customHeight="1" x14ac:dyDescent="0.3">
      <c r="P561" s="18"/>
      <c r="Q561" s="18"/>
      <c r="R561" s="18"/>
    </row>
    <row r="562" spans="16:18" ht="14.25" customHeight="1" x14ac:dyDescent="0.3">
      <c r="P562" s="18"/>
      <c r="Q562" s="18"/>
      <c r="R562" s="18"/>
    </row>
    <row r="563" spans="16:18" ht="14.25" customHeight="1" x14ac:dyDescent="0.3">
      <c r="P563" s="18"/>
      <c r="Q563" s="18"/>
      <c r="R563" s="18"/>
    </row>
    <row r="564" spans="16:18" ht="14.25" customHeight="1" x14ac:dyDescent="0.3">
      <c r="P564" s="18"/>
      <c r="Q564" s="18"/>
      <c r="R564" s="18"/>
    </row>
    <row r="565" spans="16:18" ht="14.25" customHeight="1" x14ac:dyDescent="0.3">
      <c r="P565" s="18"/>
      <c r="Q565" s="18"/>
      <c r="R565" s="18"/>
    </row>
    <row r="566" spans="16:18" ht="14.25" customHeight="1" x14ac:dyDescent="0.3">
      <c r="P566" s="18"/>
      <c r="Q566" s="18"/>
      <c r="R566" s="18"/>
    </row>
    <row r="567" spans="16:18" ht="14.25" customHeight="1" x14ac:dyDescent="0.3">
      <c r="P567" s="18"/>
      <c r="Q567" s="18"/>
      <c r="R567" s="18"/>
    </row>
    <row r="568" spans="16:18" ht="14.25" customHeight="1" x14ac:dyDescent="0.3">
      <c r="P568" s="18"/>
      <c r="Q568" s="18"/>
      <c r="R568" s="18"/>
    </row>
    <row r="569" spans="16:18" ht="14.25" customHeight="1" x14ac:dyDescent="0.3">
      <c r="P569" s="18"/>
      <c r="Q569" s="18"/>
      <c r="R569" s="18"/>
    </row>
    <row r="570" spans="16:18" ht="14.25" customHeight="1" x14ac:dyDescent="0.3">
      <c r="P570" s="18"/>
      <c r="Q570" s="18"/>
      <c r="R570" s="18"/>
    </row>
    <row r="571" spans="16:18" ht="14.25" customHeight="1" x14ac:dyDescent="0.3">
      <c r="P571" s="18"/>
      <c r="Q571" s="18"/>
      <c r="R571" s="18"/>
    </row>
    <row r="572" spans="16:18" ht="14.25" customHeight="1" x14ac:dyDescent="0.3">
      <c r="P572" s="18"/>
      <c r="Q572" s="18"/>
      <c r="R572" s="18"/>
    </row>
    <row r="573" spans="16:18" ht="14.25" customHeight="1" x14ac:dyDescent="0.3">
      <c r="P573" s="18"/>
      <c r="Q573" s="18"/>
      <c r="R573" s="18"/>
    </row>
    <row r="574" spans="16:18" ht="14.25" customHeight="1" x14ac:dyDescent="0.3">
      <c r="P574" s="18"/>
      <c r="Q574" s="18"/>
      <c r="R574" s="18"/>
    </row>
    <row r="575" spans="16:18" ht="14.25" customHeight="1" x14ac:dyDescent="0.3">
      <c r="P575" s="18"/>
      <c r="Q575" s="18"/>
      <c r="R575" s="18"/>
    </row>
    <row r="576" spans="16:18" ht="14.25" customHeight="1" x14ac:dyDescent="0.3">
      <c r="P576" s="18"/>
      <c r="Q576" s="18"/>
      <c r="R576" s="18"/>
    </row>
    <row r="577" spans="16:18" ht="14.25" customHeight="1" x14ac:dyDescent="0.3">
      <c r="P577" s="18"/>
      <c r="Q577" s="18"/>
      <c r="R577" s="18"/>
    </row>
    <row r="578" spans="16:18" ht="14.25" customHeight="1" x14ac:dyDescent="0.3">
      <c r="P578" s="18"/>
      <c r="Q578" s="18"/>
      <c r="R578" s="18"/>
    </row>
    <row r="579" spans="16:18" ht="14.25" customHeight="1" x14ac:dyDescent="0.3">
      <c r="P579" s="18"/>
      <c r="Q579" s="18"/>
      <c r="R579" s="18"/>
    </row>
    <row r="580" spans="16:18" ht="14.25" customHeight="1" x14ac:dyDescent="0.3">
      <c r="P580" s="18"/>
      <c r="Q580" s="18"/>
      <c r="R580" s="18"/>
    </row>
    <row r="581" spans="16:18" ht="14.25" customHeight="1" x14ac:dyDescent="0.3">
      <c r="P581" s="18"/>
      <c r="Q581" s="18"/>
      <c r="R581" s="18"/>
    </row>
    <row r="582" spans="16:18" ht="14.25" customHeight="1" x14ac:dyDescent="0.3">
      <c r="P582" s="18"/>
      <c r="Q582" s="18"/>
      <c r="R582" s="18"/>
    </row>
    <row r="583" spans="16:18" ht="14.25" customHeight="1" x14ac:dyDescent="0.3">
      <c r="P583" s="18"/>
      <c r="Q583" s="18"/>
      <c r="R583" s="18"/>
    </row>
    <row r="584" spans="16:18" ht="14.25" customHeight="1" x14ac:dyDescent="0.3">
      <c r="P584" s="18"/>
      <c r="Q584" s="18"/>
      <c r="R584" s="18"/>
    </row>
    <row r="585" spans="16:18" ht="14.25" customHeight="1" x14ac:dyDescent="0.3">
      <c r="P585" s="18"/>
      <c r="Q585" s="18"/>
      <c r="R585" s="18"/>
    </row>
    <row r="586" spans="16:18" ht="14.25" customHeight="1" x14ac:dyDescent="0.3">
      <c r="P586" s="18"/>
      <c r="Q586" s="18"/>
      <c r="R586" s="18"/>
    </row>
    <row r="587" spans="16:18" ht="14.25" customHeight="1" x14ac:dyDescent="0.3">
      <c r="P587" s="18"/>
      <c r="Q587" s="18"/>
      <c r="R587" s="18"/>
    </row>
    <row r="588" spans="16:18" ht="14.25" customHeight="1" x14ac:dyDescent="0.3">
      <c r="P588" s="18"/>
      <c r="Q588" s="18"/>
      <c r="R588" s="18"/>
    </row>
    <row r="589" spans="16:18" ht="14.25" customHeight="1" x14ac:dyDescent="0.3">
      <c r="P589" s="18"/>
      <c r="Q589" s="18"/>
      <c r="R589" s="18"/>
    </row>
    <row r="590" spans="16:18" ht="14.25" customHeight="1" x14ac:dyDescent="0.3">
      <c r="P590" s="18"/>
      <c r="Q590" s="18"/>
      <c r="R590" s="18"/>
    </row>
    <row r="591" spans="16:18" ht="14.25" customHeight="1" x14ac:dyDescent="0.3">
      <c r="P591" s="18"/>
      <c r="Q591" s="18"/>
      <c r="R591" s="18"/>
    </row>
    <row r="592" spans="16:18" ht="14.25" customHeight="1" x14ac:dyDescent="0.3">
      <c r="P592" s="18"/>
      <c r="Q592" s="18"/>
      <c r="R592" s="18"/>
    </row>
    <row r="593" spans="16:18" ht="14.25" customHeight="1" x14ac:dyDescent="0.3">
      <c r="P593" s="18"/>
      <c r="Q593" s="18"/>
      <c r="R593" s="18"/>
    </row>
    <row r="594" spans="16:18" ht="14.25" customHeight="1" x14ac:dyDescent="0.3">
      <c r="P594" s="18"/>
      <c r="Q594" s="18"/>
      <c r="R594" s="18"/>
    </row>
    <row r="595" spans="16:18" ht="14.25" customHeight="1" x14ac:dyDescent="0.3">
      <c r="P595" s="18"/>
      <c r="Q595" s="18"/>
      <c r="R595" s="18"/>
    </row>
    <row r="596" spans="16:18" ht="14.25" customHeight="1" x14ac:dyDescent="0.3">
      <c r="P596" s="18"/>
      <c r="Q596" s="18"/>
      <c r="R596" s="18"/>
    </row>
    <row r="597" spans="16:18" ht="14.25" customHeight="1" x14ac:dyDescent="0.3">
      <c r="P597" s="18"/>
      <c r="Q597" s="18"/>
      <c r="R597" s="18"/>
    </row>
    <row r="598" spans="16:18" ht="14.25" customHeight="1" x14ac:dyDescent="0.3">
      <c r="P598" s="18"/>
      <c r="Q598" s="18"/>
      <c r="R598" s="18"/>
    </row>
    <row r="599" spans="16:18" ht="14.25" customHeight="1" x14ac:dyDescent="0.3">
      <c r="P599" s="18"/>
      <c r="Q599" s="18"/>
      <c r="R599" s="18"/>
    </row>
    <row r="600" spans="16:18" ht="14.25" customHeight="1" x14ac:dyDescent="0.3">
      <c r="P600" s="18"/>
      <c r="Q600" s="18"/>
      <c r="R600" s="18"/>
    </row>
    <row r="601" spans="16:18" ht="14.25" customHeight="1" x14ac:dyDescent="0.3">
      <c r="P601" s="18"/>
      <c r="Q601" s="18"/>
      <c r="R601" s="18"/>
    </row>
    <row r="602" spans="16:18" ht="14.25" customHeight="1" x14ac:dyDescent="0.3">
      <c r="P602" s="18"/>
      <c r="Q602" s="18"/>
      <c r="R602" s="18"/>
    </row>
    <row r="603" spans="16:18" ht="14.25" customHeight="1" x14ac:dyDescent="0.3">
      <c r="P603" s="18"/>
      <c r="Q603" s="18"/>
      <c r="R603" s="18"/>
    </row>
    <row r="604" spans="16:18" ht="14.25" customHeight="1" x14ac:dyDescent="0.3">
      <c r="P604" s="18"/>
      <c r="Q604" s="18"/>
      <c r="R604" s="18"/>
    </row>
    <row r="605" spans="16:18" ht="14.25" customHeight="1" x14ac:dyDescent="0.3">
      <c r="P605" s="18"/>
      <c r="Q605" s="18"/>
      <c r="R605" s="18"/>
    </row>
    <row r="606" spans="16:18" ht="14.25" customHeight="1" x14ac:dyDescent="0.3">
      <c r="P606" s="18"/>
      <c r="Q606" s="18"/>
      <c r="R606" s="18"/>
    </row>
    <row r="607" spans="16:18" ht="14.25" customHeight="1" x14ac:dyDescent="0.3">
      <c r="P607" s="18"/>
      <c r="Q607" s="18"/>
      <c r="R607" s="18"/>
    </row>
    <row r="608" spans="16:18" ht="14.25" customHeight="1" x14ac:dyDescent="0.3">
      <c r="P608" s="18"/>
      <c r="Q608" s="18"/>
      <c r="R608" s="18"/>
    </row>
    <row r="609" spans="16:18" ht="14.25" customHeight="1" x14ac:dyDescent="0.3">
      <c r="P609" s="18"/>
      <c r="Q609" s="18"/>
      <c r="R609" s="18"/>
    </row>
    <row r="610" spans="16:18" ht="14.25" customHeight="1" x14ac:dyDescent="0.3">
      <c r="P610" s="18"/>
      <c r="Q610" s="18"/>
      <c r="R610" s="18"/>
    </row>
    <row r="611" spans="16:18" ht="14.25" customHeight="1" x14ac:dyDescent="0.3">
      <c r="P611" s="18"/>
      <c r="Q611" s="18"/>
      <c r="R611" s="18"/>
    </row>
    <row r="612" spans="16:18" ht="14.25" customHeight="1" x14ac:dyDescent="0.3">
      <c r="P612" s="18"/>
      <c r="Q612" s="18"/>
      <c r="R612" s="18"/>
    </row>
    <row r="613" spans="16:18" ht="14.25" customHeight="1" x14ac:dyDescent="0.3">
      <c r="P613" s="18"/>
      <c r="Q613" s="18"/>
      <c r="R613" s="18"/>
    </row>
    <row r="614" spans="16:18" ht="14.25" customHeight="1" x14ac:dyDescent="0.3">
      <c r="P614" s="18"/>
      <c r="Q614" s="18"/>
      <c r="R614" s="18"/>
    </row>
    <row r="615" spans="16:18" ht="14.25" customHeight="1" x14ac:dyDescent="0.3">
      <c r="P615" s="18"/>
      <c r="Q615" s="18"/>
      <c r="R615" s="18"/>
    </row>
    <row r="616" spans="16:18" ht="14.25" customHeight="1" x14ac:dyDescent="0.3">
      <c r="P616" s="18"/>
      <c r="Q616" s="18"/>
      <c r="R616" s="18"/>
    </row>
    <row r="617" spans="16:18" ht="14.25" customHeight="1" x14ac:dyDescent="0.3">
      <c r="P617" s="18"/>
      <c r="Q617" s="18"/>
      <c r="R617" s="18"/>
    </row>
    <row r="618" spans="16:18" ht="14.25" customHeight="1" x14ac:dyDescent="0.3">
      <c r="P618" s="18"/>
      <c r="Q618" s="18"/>
      <c r="R618" s="18"/>
    </row>
    <row r="619" spans="16:18" ht="14.25" customHeight="1" x14ac:dyDescent="0.3">
      <c r="P619" s="18"/>
      <c r="Q619" s="18"/>
      <c r="R619" s="18"/>
    </row>
    <row r="620" spans="16:18" ht="14.25" customHeight="1" x14ac:dyDescent="0.3">
      <c r="P620" s="18"/>
      <c r="Q620" s="18"/>
      <c r="R620" s="18"/>
    </row>
    <row r="621" spans="16:18" ht="14.25" customHeight="1" x14ac:dyDescent="0.3">
      <c r="P621" s="18"/>
      <c r="Q621" s="18"/>
      <c r="R621" s="18"/>
    </row>
    <row r="622" spans="16:18" ht="14.25" customHeight="1" x14ac:dyDescent="0.3">
      <c r="P622" s="18"/>
      <c r="Q622" s="18"/>
      <c r="R622" s="18"/>
    </row>
    <row r="623" spans="16:18" ht="14.25" customHeight="1" x14ac:dyDescent="0.3">
      <c r="P623" s="18"/>
      <c r="Q623" s="18"/>
      <c r="R623" s="18"/>
    </row>
    <row r="624" spans="16:18" ht="14.25" customHeight="1" x14ac:dyDescent="0.3">
      <c r="P624" s="18"/>
      <c r="Q624" s="18"/>
      <c r="R624" s="18"/>
    </row>
    <row r="625" spans="16:18" ht="14.25" customHeight="1" x14ac:dyDescent="0.3">
      <c r="P625" s="18"/>
      <c r="Q625" s="18"/>
      <c r="R625" s="18"/>
    </row>
    <row r="626" spans="16:18" ht="14.25" customHeight="1" x14ac:dyDescent="0.3">
      <c r="P626" s="18"/>
      <c r="Q626" s="18"/>
      <c r="R626" s="18"/>
    </row>
    <row r="627" spans="16:18" ht="14.25" customHeight="1" x14ac:dyDescent="0.3">
      <c r="P627" s="18"/>
      <c r="Q627" s="18"/>
      <c r="R627" s="18"/>
    </row>
    <row r="628" spans="16:18" ht="14.25" customHeight="1" x14ac:dyDescent="0.3">
      <c r="P628" s="18"/>
      <c r="Q628" s="18"/>
      <c r="R628" s="18"/>
    </row>
    <row r="629" spans="16:18" ht="14.25" customHeight="1" x14ac:dyDescent="0.3">
      <c r="P629" s="18"/>
      <c r="Q629" s="18"/>
      <c r="R629" s="18"/>
    </row>
    <row r="630" spans="16:18" ht="14.25" customHeight="1" x14ac:dyDescent="0.3">
      <c r="P630" s="18"/>
      <c r="Q630" s="18"/>
      <c r="R630" s="18"/>
    </row>
    <row r="631" spans="16:18" ht="14.25" customHeight="1" x14ac:dyDescent="0.3">
      <c r="P631" s="18"/>
      <c r="Q631" s="18"/>
      <c r="R631" s="18"/>
    </row>
    <row r="632" spans="16:18" ht="14.25" customHeight="1" x14ac:dyDescent="0.3">
      <c r="P632" s="18"/>
      <c r="Q632" s="18"/>
      <c r="R632" s="18"/>
    </row>
    <row r="633" spans="16:18" ht="14.25" customHeight="1" x14ac:dyDescent="0.3">
      <c r="P633" s="18"/>
      <c r="Q633" s="18"/>
      <c r="R633" s="18"/>
    </row>
    <row r="634" spans="16:18" ht="14.25" customHeight="1" x14ac:dyDescent="0.3">
      <c r="P634" s="18"/>
      <c r="Q634" s="18"/>
      <c r="R634" s="18"/>
    </row>
    <row r="635" spans="16:18" ht="14.25" customHeight="1" x14ac:dyDescent="0.3">
      <c r="P635" s="18"/>
      <c r="Q635" s="18"/>
      <c r="R635" s="18"/>
    </row>
    <row r="636" spans="16:18" ht="14.25" customHeight="1" x14ac:dyDescent="0.3">
      <c r="P636" s="18"/>
      <c r="Q636" s="18"/>
      <c r="R636" s="18"/>
    </row>
    <row r="637" spans="16:18" ht="14.25" customHeight="1" x14ac:dyDescent="0.3">
      <c r="P637" s="18"/>
      <c r="Q637" s="18"/>
      <c r="R637" s="18"/>
    </row>
    <row r="638" spans="16:18" ht="14.25" customHeight="1" x14ac:dyDescent="0.3">
      <c r="P638" s="18"/>
      <c r="Q638" s="18"/>
      <c r="R638" s="18"/>
    </row>
    <row r="639" spans="16:18" ht="14.25" customHeight="1" x14ac:dyDescent="0.3">
      <c r="P639" s="18"/>
      <c r="Q639" s="18"/>
      <c r="R639" s="18"/>
    </row>
    <row r="640" spans="16:18" ht="14.25" customHeight="1" x14ac:dyDescent="0.3">
      <c r="P640" s="18"/>
      <c r="Q640" s="18"/>
      <c r="R640" s="18"/>
    </row>
    <row r="641" spans="16:18" ht="14.25" customHeight="1" x14ac:dyDescent="0.3">
      <c r="P641" s="18"/>
      <c r="Q641" s="18"/>
      <c r="R641" s="18"/>
    </row>
    <row r="642" spans="16:18" ht="14.25" customHeight="1" x14ac:dyDescent="0.3">
      <c r="P642" s="18"/>
      <c r="Q642" s="18"/>
      <c r="R642" s="18"/>
    </row>
    <row r="643" spans="16:18" ht="14.25" customHeight="1" x14ac:dyDescent="0.3">
      <c r="P643" s="18"/>
      <c r="Q643" s="18"/>
      <c r="R643" s="18"/>
    </row>
    <row r="644" spans="16:18" ht="14.25" customHeight="1" x14ac:dyDescent="0.3">
      <c r="P644" s="18"/>
      <c r="Q644" s="18"/>
      <c r="R644" s="18"/>
    </row>
    <row r="645" spans="16:18" ht="14.25" customHeight="1" x14ac:dyDescent="0.3">
      <c r="P645" s="18"/>
      <c r="Q645" s="18"/>
      <c r="R645" s="18"/>
    </row>
    <row r="646" spans="16:18" ht="14.25" customHeight="1" x14ac:dyDescent="0.3">
      <c r="P646" s="18"/>
      <c r="Q646" s="18"/>
      <c r="R646" s="18"/>
    </row>
    <row r="647" spans="16:18" ht="14.25" customHeight="1" x14ac:dyDescent="0.3">
      <c r="P647" s="18"/>
      <c r="Q647" s="18"/>
      <c r="R647" s="18"/>
    </row>
    <row r="648" spans="16:18" ht="14.25" customHeight="1" x14ac:dyDescent="0.3">
      <c r="P648" s="18"/>
      <c r="Q648" s="18"/>
      <c r="R648" s="18"/>
    </row>
    <row r="649" spans="16:18" ht="14.25" customHeight="1" x14ac:dyDescent="0.3">
      <c r="P649" s="18"/>
      <c r="Q649" s="18"/>
      <c r="R649" s="18"/>
    </row>
    <row r="650" spans="16:18" ht="14.25" customHeight="1" x14ac:dyDescent="0.3">
      <c r="P650" s="18"/>
      <c r="Q650" s="18"/>
      <c r="R650" s="18"/>
    </row>
    <row r="651" spans="16:18" ht="14.25" customHeight="1" x14ac:dyDescent="0.3">
      <c r="P651" s="18"/>
      <c r="Q651" s="18"/>
      <c r="R651" s="18"/>
    </row>
    <row r="652" spans="16:18" ht="14.25" customHeight="1" x14ac:dyDescent="0.3">
      <c r="P652" s="18"/>
      <c r="Q652" s="18"/>
      <c r="R652" s="18"/>
    </row>
    <row r="653" spans="16:18" ht="14.25" customHeight="1" x14ac:dyDescent="0.3">
      <c r="P653" s="18"/>
      <c r="Q653" s="18"/>
      <c r="R653" s="18"/>
    </row>
    <row r="654" spans="16:18" ht="14.25" customHeight="1" x14ac:dyDescent="0.3">
      <c r="P654" s="18"/>
      <c r="Q654" s="18"/>
      <c r="R654" s="18"/>
    </row>
    <row r="655" spans="16:18" ht="14.25" customHeight="1" x14ac:dyDescent="0.3">
      <c r="P655" s="18"/>
      <c r="Q655" s="18"/>
      <c r="R655" s="18"/>
    </row>
    <row r="656" spans="16:18" ht="14.25" customHeight="1" x14ac:dyDescent="0.3">
      <c r="P656" s="18"/>
      <c r="Q656" s="18"/>
      <c r="R656" s="18"/>
    </row>
    <row r="657" spans="16:18" ht="14.25" customHeight="1" x14ac:dyDescent="0.3">
      <c r="P657" s="18"/>
      <c r="Q657" s="18"/>
      <c r="R657" s="18"/>
    </row>
    <row r="658" spans="16:18" ht="14.25" customHeight="1" x14ac:dyDescent="0.3">
      <c r="P658" s="18"/>
      <c r="Q658" s="18"/>
      <c r="R658" s="18"/>
    </row>
    <row r="659" spans="16:18" ht="14.25" customHeight="1" x14ac:dyDescent="0.3">
      <c r="P659" s="18"/>
      <c r="Q659" s="18"/>
      <c r="R659" s="18"/>
    </row>
    <row r="660" spans="16:18" ht="14.25" customHeight="1" x14ac:dyDescent="0.3">
      <c r="P660" s="18"/>
      <c r="Q660" s="18"/>
      <c r="R660" s="18"/>
    </row>
    <row r="661" spans="16:18" ht="14.25" customHeight="1" x14ac:dyDescent="0.3">
      <c r="P661" s="18"/>
      <c r="Q661" s="18"/>
      <c r="R661" s="18"/>
    </row>
    <row r="662" spans="16:18" ht="14.25" customHeight="1" x14ac:dyDescent="0.3">
      <c r="P662" s="18"/>
      <c r="Q662" s="18"/>
      <c r="R662" s="18"/>
    </row>
    <row r="663" spans="16:18" ht="14.25" customHeight="1" x14ac:dyDescent="0.3">
      <c r="P663" s="18"/>
      <c r="Q663" s="18"/>
      <c r="R663" s="18"/>
    </row>
    <row r="664" spans="16:18" ht="14.25" customHeight="1" x14ac:dyDescent="0.3">
      <c r="P664" s="18"/>
      <c r="Q664" s="18"/>
      <c r="R664" s="18"/>
    </row>
    <row r="665" spans="16:18" ht="14.25" customHeight="1" x14ac:dyDescent="0.3">
      <c r="P665" s="18"/>
      <c r="Q665" s="18"/>
      <c r="R665" s="18"/>
    </row>
    <row r="666" spans="16:18" ht="14.25" customHeight="1" x14ac:dyDescent="0.3">
      <c r="P666" s="18"/>
      <c r="Q666" s="18"/>
      <c r="R666" s="18"/>
    </row>
    <row r="667" spans="16:18" ht="14.25" customHeight="1" x14ac:dyDescent="0.3">
      <c r="P667" s="18"/>
      <c r="Q667" s="18"/>
      <c r="R667" s="18"/>
    </row>
    <row r="668" spans="16:18" ht="14.25" customHeight="1" x14ac:dyDescent="0.3">
      <c r="P668" s="18"/>
      <c r="Q668" s="18"/>
      <c r="R668" s="18"/>
    </row>
    <row r="669" spans="16:18" ht="14.25" customHeight="1" x14ac:dyDescent="0.3">
      <c r="P669" s="18"/>
      <c r="Q669" s="18"/>
      <c r="R669" s="18"/>
    </row>
    <row r="670" spans="16:18" ht="14.25" customHeight="1" x14ac:dyDescent="0.3">
      <c r="P670" s="18"/>
      <c r="Q670" s="18"/>
      <c r="R670" s="18"/>
    </row>
    <row r="671" spans="16:18" ht="14.25" customHeight="1" x14ac:dyDescent="0.3">
      <c r="P671" s="18"/>
      <c r="Q671" s="18"/>
      <c r="R671" s="18"/>
    </row>
    <row r="672" spans="16:18" ht="14.25" customHeight="1" x14ac:dyDescent="0.3">
      <c r="P672" s="18"/>
      <c r="Q672" s="18"/>
      <c r="R672" s="18"/>
    </row>
    <row r="673" spans="16:18" ht="14.25" customHeight="1" x14ac:dyDescent="0.3">
      <c r="P673" s="18"/>
      <c r="Q673" s="18"/>
      <c r="R673" s="18"/>
    </row>
    <row r="674" spans="16:18" ht="14.25" customHeight="1" x14ac:dyDescent="0.3">
      <c r="P674" s="18"/>
      <c r="Q674" s="18"/>
      <c r="R674" s="18"/>
    </row>
    <row r="675" spans="16:18" ht="14.25" customHeight="1" x14ac:dyDescent="0.3">
      <c r="P675" s="18"/>
      <c r="Q675" s="18"/>
      <c r="R675" s="18"/>
    </row>
    <row r="676" spans="16:18" ht="14.25" customHeight="1" x14ac:dyDescent="0.3">
      <c r="P676" s="18"/>
      <c r="Q676" s="18"/>
      <c r="R676" s="18"/>
    </row>
    <row r="677" spans="16:18" ht="14.25" customHeight="1" x14ac:dyDescent="0.3">
      <c r="P677" s="18"/>
      <c r="Q677" s="18"/>
      <c r="R677" s="18"/>
    </row>
    <row r="678" spans="16:18" ht="14.25" customHeight="1" x14ac:dyDescent="0.3">
      <c r="P678" s="18"/>
      <c r="Q678" s="18"/>
      <c r="R678" s="18"/>
    </row>
    <row r="679" spans="16:18" ht="14.25" customHeight="1" x14ac:dyDescent="0.3">
      <c r="P679" s="18"/>
      <c r="Q679" s="18"/>
      <c r="R679" s="18"/>
    </row>
    <row r="680" spans="16:18" ht="14.25" customHeight="1" x14ac:dyDescent="0.3">
      <c r="P680" s="18"/>
      <c r="Q680" s="18"/>
      <c r="R680" s="18"/>
    </row>
    <row r="681" spans="16:18" ht="14.25" customHeight="1" x14ac:dyDescent="0.3">
      <c r="P681" s="18"/>
      <c r="Q681" s="18"/>
      <c r="R681" s="18"/>
    </row>
    <row r="682" spans="16:18" ht="14.25" customHeight="1" x14ac:dyDescent="0.3">
      <c r="P682" s="18"/>
      <c r="Q682" s="18"/>
      <c r="R682" s="18"/>
    </row>
    <row r="683" spans="16:18" ht="14.25" customHeight="1" x14ac:dyDescent="0.3">
      <c r="P683" s="18"/>
      <c r="Q683" s="18"/>
      <c r="R683" s="18"/>
    </row>
    <row r="684" spans="16:18" ht="14.25" customHeight="1" x14ac:dyDescent="0.3">
      <c r="P684" s="18"/>
      <c r="Q684" s="18"/>
      <c r="R684" s="18"/>
    </row>
    <row r="685" spans="16:18" ht="14.25" customHeight="1" x14ac:dyDescent="0.3">
      <c r="P685" s="18"/>
      <c r="Q685" s="18"/>
      <c r="R685" s="18"/>
    </row>
    <row r="686" spans="16:18" ht="14.25" customHeight="1" x14ac:dyDescent="0.3">
      <c r="P686" s="18"/>
      <c r="Q686" s="18"/>
      <c r="R686" s="18"/>
    </row>
    <row r="687" spans="16:18" ht="14.25" customHeight="1" x14ac:dyDescent="0.3">
      <c r="P687" s="18"/>
      <c r="Q687" s="18"/>
      <c r="R687" s="18"/>
    </row>
    <row r="688" spans="16:18" ht="14.25" customHeight="1" x14ac:dyDescent="0.3">
      <c r="P688" s="18"/>
      <c r="Q688" s="18"/>
      <c r="R688" s="18"/>
    </row>
    <row r="689" spans="16:18" ht="14.25" customHeight="1" x14ac:dyDescent="0.3">
      <c r="P689" s="18"/>
      <c r="Q689" s="18"/>
      <c r="R689" s="18"/>
    </row>
    <row r="690" spans="16:18" ht="14.25" customHeight="1" x14ac:dyDescent="0.3">
      <c r="P690" s="18"/>
      <c r="Q690" s="18"/>
      <c r="R690" s="18"/>
    </row>
    <row r="691" spans="16:18" ht="14.25" customHeight="1" x14ac:dyDescent="0.3">
      <c r="P691" s="18"/>
      <c r="Q691" s="18"/>
      <c r="R691" s="18"/>
    </row>
    <row r="692" spans="16:18" ht="14.25" customHeight="1" x14ac:dyDescent="0.3">
      <c r="P692" s="18"/>
      <c r="Q692" s="18"/>
      <c r="R692" s="18"/>
    </row>
    <row r="693" spans="16:18" ht="14.25" customHeight="1" x14ac:dyDescent="0.3">
      <c r="P693" s="18"/>
      <c r="Q693" s="18"/>
      <c r="R693" s="18"/>
    </row>
    <row r="694" spans="16:18" ht="14.25" customHeight="1" x14ac:dyDescent="0.3">
      <c r="P694" s="18"/>
      <c r="Q694" s="18"/>
      <c r="R694" s="18"/>
    </row>
    <row r="695" spans="16:18" ht="14.25" customHeight="1" x14ac:dyDescent="0.3">
      <c r="P695" s="18"/>
      <c r="Q695" s="18"/>
      <c r="R695" s="18"/>
    </row>
    <row r="696" spans="16:18" ht="14.25" customHeight="1" x14ac:dyDescent="0.3">
      <c r="P696" s="18"/>
      <c r="Q696" s="18"/>
      <c r="R696" s="18"/>
    </row>
    <row r="697" spans="16:18" ht="14.25" customHeight="1" x14ac:dyDescent="0.3">
      <c r="P697" s="18"/>
      <c r="Q697" s="18"/>
      <c r="R697" s="18"/>
    </row>
    <row r="698" spans="16:18" ht="14.25" customHeight="1" x14ac:dyDescent="0.3">
      <c r="P698" s="18"/>
      <c r="Q698" s="18"/>
      <c r="R698" s="18"/>
    </row>
    <row r="699" spans="16:18" ht="14.25" customHeight="1" x14ac:dyDescent="0.3">
      <c r="P699" s="18"/>
      <c r="Q699" s="18"/>
      <c r="R699" s="18"/>
    </row>
    <row r="700" spans="16:18" ht="14.25" customHeight="1" x14ac:dyDescent="0.3">
      <c r="P700" s="18"/>
      <c r="Q700" s="18"/>
      <c r="R700" s="18"/>
    </row>
    <row r="701" spans="16:18" ht="14.25" customHeight="1" x14ac:dyDescent="0.3">
      <c r="P701" s="18"/>
      <c r="Q701" s="18"/>
      <c r="R701" s="18"/>
    </row>
    <row r="702" spans="16:18" ht="14.25" customHeight="1" x14ac:dyDescent="0.3">
      <c r="P702" s="18"/>
      <c r="Q702" s="18"/>
      <c r="R702" s="18"/>
    </row>
    <row r="703" spans="16:18" ht="14.25" customHeight="1" x14ac:dyDescent="0.3">
      <c r="P703" s="18"/>
      <c r="Q703" s="18"/>
      <c r="R703" s="18"/>
    </row>
    <row r="704" spans="16:18" ht="14.25" customHeight="1" x14ac:dyDescent="0.3">
      <c r="P704" s="18"/>
      <c r="Q704" s="18"/>
      <c r="R704" s="18"/>
    </row>
    <row r="705" spans="16:18" ht="14.25" customHeight="1" x14ac:dyDescent="0.3">
      <c r="P705" s="18"/>
      <c r="Q705" s="18"/>
      <c r="R705" s="18"/>
    </row>
    <row r="706" spans="16:18" ht="14.25" customHeight="1" x14ac:dyDescent="0.3">
      <c r="P706" s="18"/>
      <c r="Q706" s="18"/>
      <c r="R706" s="18"/>
    </row>
    <row r="707" spans="16:18" ht="14.25" customHeight="1" x14ac:dyDescent="0.3">
      <c r="P707" s="18"/>
      <c r="Q707" s="18"/>
      <c r="R707" s="18"/>
    </row>
    <row r="708" spans="16:18" ht="14.25" customHeight="1" x14ac:dyDescent="0.3">
      <c r="P708" s="18"/>
      <c r="Q708" s="18"/>
      <c r="R708" s="18"/>
    </row>
    <row r="709" spans="16:18" ht="14.25" customHeight="1" x14ac:dyDescent="0.3">
      <c r="P709" s="18"/>
      <c r="Q709" s="18"/>
      <c r="R709" s="18"/>
    </row>
    <row r="710" spans="16:18" ht="14.25" customHeight="1" x14ac:dyDescent="0.3">
      <c r="P710" s="18"/>
      <c r="Q710" s="18"/>
      <c r="R710" s="18"/>
    </row>
    <row r="711" spans="16:18" ht="14.25" customHeight="1" x14ac:dyDescent="0.3">
      <c r="P711" s="18"/>
      <c r="Q711" s="18"/>
      <c r="R711" s="18"/>
    </row>
    <row r="712" spans="16:18" ht="14.25" customHeight="1" x14ac:dyDescent="0.3">
      <c r="P712" s="18"/>
      <c r="Q712" s="18"/>
      <c r="R712" s="18"/>
    </row>
    <row r="713" spans="16:18" ht="14.25" customHeight="1" x14ac:dyDescent="0.3">
      <c r="P713" s="18"/>
      <c r="Q713" s="18"/>
      <c r="R713" s="18"/>
    </row>
    <row r="714" spans="16:18" ht="14.25" customHeight="1" x14ac:dyDescent="0.3">
      <c r="P714" s="18"/>
      <c r="Q714" s="18"/>
      <c r="R714" s="18"/>
    </row>
    <row r="715" spans="16:18" ht="14.25" customHeight="1" x14ac:dyDescent="0.3">
      <c r="P715" s="18"/>
      <c r="Q715" s="18"/>
      <c r="R715" s="18"/>
    </row>
    <row r="716" spans="16:18" ht="14.25" customHeight="1" x14ac:dyDescent="0.3">
      <c r="P716" s="18"/>
      <c r="Q716" s="18"/>
      <c r="R716" s="18"/>
    </row>
    <row r="717" spans="16:18" ht="14.25" customHeight="1" x14ac:dyDescent="0.3">
      <c r="P717" s="18"/>
      <c r="Q717" s="18"/>
      <c r="R717" s="18"/>
    </row>
    <row r="718" spans="16:18" ht="14.25" customHeight="1" x14ac:dyDescent="0.3">
      <c r="P718" s="18"/>
      <c r="Q718" s="18"/>
      <c r="R718" s="18"/>
    </row>
    <row r="719" spans="16:18" ht="14.25" customHeight="1" x14ac:dyDescent="0.3">
      <c r="P719" s="18"/>
      <c r="Q719" s="18"/>
      <c r="R719" s="18"/>
    </row>
    <row r="720" spans="16:18" ht="14.25" customHeight="1" x14ac:dyDescent="0.3">
      <c r="P720" s="18"/>
      <c r="Q720" s="18"/>
      <c r="R720" s="18"/>
    </row>
    <row r="721" spans="16:18" ht="14.25" customHeight="1" x14ac:dyDescent="0.3">
      <c r="P721" s="18"/>
      <c r="Q721" s="18"/>
      <c r="R721" s="18"/>
    </row>
    <row r="722" spans="16:18" ht="14.25" customHeight="1" x14ac:dyDescent="0.3">
      <c r="P722" s="18"/>
      <c r="Q722" s="18"/>
      <c r="R722" s="18"/>
    </row>
    <row r="723" spans="16:18" ht="14.25" customHeight="1" x14ac:dyDescent="0.3">
      <c r="P723" s="18"/>
      <c r="Q723" s="18"/>
      <c r="R723" s="18"/>
    </row>
    <row r="724" spans="16:18" ht="14.25" customHeight="1" x14ac:dyDescent="0.3">
      <c r="P724" s="18"/>
      <c r="Q724" s="18"/>
      <c r="R724" s="18"/>
    </row>
    <row r="725" spans="16:18" ht="14.25" customHeight="1" x14ac:dyDescent="0.3">
      <c r="P725" s="18"/>
      <c r="Q725" s="18"/>
      <c r="R725" s="18"/>
    </row>
    <row r="726" spans="16:18" ht="14.25" customHeight="1" x14ac:dyDescent="0.3">
      <c r="P726" s="18"/>
      <c r="Q726" s="18"/>
      <c r="R726" s="18"/>
    </row>
    <row r="727" spans="16:18" ht="14.25" customHeight="1" x14ac:dyDescent="0.3">
      <c r="P727" s="18"/>
      <c r="Q727" s="18"/>
      <c r="R727" s="18"/>
    </row>
    <row r="728" spans="16:18" ht="14.25" customHeight="1" x14ac:dyDescent="0.3">
      <c r="P728" s="18"/>
      <c r="Q728" s="18"/>
      <c r="R728" s="18"/>
    </row>
    <row r="729" spans="16:18" ht="14.25" customHeight="1" x14ac:dyDescent="0.3">
      <c r="P729" s="18"/>
      <c r="Q729" s="18"/>
      <c r="R729" s="18"/>
    </row>
    <row r="730" spans="16:18" ht="14.25" customHeight="1" x14ac:dyDescent="0.3">
      <c r="P730" s="18"/>
      <c r="Q730" s="18"/>
      <c r="R730" s="18"/>
    </row>
    <row r="731" spans="16:18" ht="14.25" customHeight="1" x14ac:dyDescent="0.3">
      <c r="P731" s="18"/>
      <c r="Q731" s="18"/>
      <c r="R731" s="18"/>
    </row>
    <row r="732" spans="16:18" ht="14.25" customHeight="1" x14ac:dyDescent="0.3">
      <c r="P732" s="18"/>
      <c r="Q732" s="18"/>
      <c r="R732" s="18"/>
    </row>
    <row r="733" spans="16:18" ht="14.25" customHeight="1" x14ac:dyDescent="0.3">
      <c r="P733" s="18"/>
      <c r="Q733" s="18"/>
      <c r="R733" s="18"/>
    </row>
    <row r="734" spans="16:18" ht="14.25" customHeight="1" x14ac:dyDescent="0.3">
      <c r="P734" s="18"/>
      <c r="Q734" s="18"/>
      <c r="R734" s="18"/>
    </row>
    <row r="735" spans="16:18" ht="14.25" customHeight="1" x14ac:dyDescent="0.3">
      <c r="P735" s="18"/>
      <c r="Q735" s="18"/>
      <c r="R735" s="18"/>
    </row>
    <row r="736" spans="16:18" ht="14.25" customHeight="1" x14ac:dyDescent="0.3">
      <c r="P736" s="18"/>
      <c r="Q736" s="18"/>
      <c r="R736" s="18"/>
    </row>
    <row r="737" spans="16:18" ht="14.25" customHeight="1" x14ac:dyDescent="0.3">
      <c r="P737" s="18"/>
      <c r="Q737" s="18"/>
      <c r="R737" s="18"/>
    </row>
    <row r="738" spans="16:18" ht="14.25" customHeight="1" x14ac:dyDescent="0.3">
      <c r="P738" s="18"/>
      <c r="Q738" s="18"/>
      <c r="R738" s="18"/>
    </row>
    <row r="739" spans="16:18" ht="14.25" customHeight="1" x14ac:dyDescent="0.3">
      <c r="P739" s="18"/>
      <c r="Q739" s="18"/>
      <c r="R739" s="18"/>
    </row>
    <row r="740" spans="16:18" ht="14.25" customHeight="1" x14ac:dyDescent="0.3">
      <c r="P740" s="18"/>
      <c r="Q740" s="18"/>
      <c r="R740" s="18"/>
    </row>
    <row r="741" spans="16:18" ht="14.25" customHeight="1" x14ac:dyDescent="0.3">
      <c r="P741" s="18"/>
      <c r="Q741" s="18"/>
      <c r="R741" s="18"/>
    </row>
    <row r="742" spans="16:18" ht="14.25" customHeight="1" x14ac:dyDescent="0.3">
      <c r="P742" s="18"/>
      <c r="Q742" s="18"/>
      <c r="R742" s="18"/>
    </row>
    <row r="743" spans="16:18" ht="14.25" customHeight="1" x14ac:dyDescent="0.3">
      <c r="P743" s="18"/>
      <c r="Q743" s="18"/>
      <c r="R743" s="18"/>
    </row>
    <row r="744" spans="16:18" ht="14.25" customHeight="1" x14ac:dyDescent="0.3">
      <c r="P744" s="18"/>
      <c r="Q744" s="18"/>
      <c r="R744" s="18"/>
    </row>
    <row r="745" spans="16:18" ht="14.25" customHeight="1" x14ac:dyDescent="0.3">
      <c r="P745" s="18"/>
      <c r="Q745" s="18"/>
      <c r="R745" s="18"/>
    </row>
    <row r="746" spans="16:18" ht="14.25" customHeight="1" x14ac:dyDescent="0.3">
      <c r="P746" s="18"/>
      <c r="Q746" s="18"/>
      <c r="R746" s="18"/>
    </row>
    <row r="747" spans="16:18" ht="14.25" customHeight="1" x14ac:dyDescent="0.3">
      <c r="P747" s="18"/>
      <c r="Q747" s="18"/>
      <c r="R747" s="18"/>
    </row>
    <row r="748" spans="16:18" ht="14.25" customHeight="1" x14ac:dyDescent="0.3">
      <c r="P748" s="18"/>
      <c r="Q748" s="18"/>
      <c r="R748" s="18"/>
    </row>
    <row r="749" spans="16:18" ht="14.25" customHeight="1" x14ac:dyDescent="0.3">
      <c r="P749" s="18"/>
      <c r="Q749" s="18"/>
      <c r="R749" s="18"/>
    </row>
    <row r="750" spans="16:18" ht="14.25" customHeight="1" x14ac:dyDescent="0.3">
      <c r="P750" s="18"/>
      <c r="Q750" s="18"/>
      <c r="R750" s="18"/>
    </row>
    <row r="751" spans="16:18" ht="14.25" customHeight="1" x14ac:dyDescent="0.3">
      <c r="P751" s="18"/>
      <c r="Q751" s="18"/>
      <c r="R751" s="18"/>
    </row>
    <row r="752" spans="16:18" ht="14.25" customHeight="1" x14ac:dyDescent="0.3">
      <c r="P752" s="18"/>
      <c r="Q752" s="18"/>
      <c r="R752" s="18"/>
    </row>
    <row r="753" spans="16:18" ht="14.25" customHeight="1" x14ac:dyDescent="0.3">
      <c r="P753" s="18"/>
      <c r="Q753" s="18"/>
      <c r="R753" s="18"/>
    </row>
    <row r="754" spans="16:18" ht="14.25" customHeight="1" x14ac:dyDescent="0.3">
      <c r="P754" s="18"/>
      <c r="Q754" s="18"/>
      <c r="R754" s="18"/>
    </row>
    <row r="755" spans="16:18" ht="14.25" customHeight="1" x14ac:dyDescent="0.3">
      <c r="P755" s="18"/>
      <c r="Q755" s="18"/>
      <c r="R755" s="18"/>
    </row>
    <row r="756" spans="16:18" ht="14.25" customHeight="1" x14ac:dyDescent="0.3">
      <c r="P756" s="18"/>
      <c r="Q756" s="18"/>
      <c r="R756" s="18"/>
    </row>
    <row r="757" spans="16:18" ht="14.25" customHeight="1" x14ac:dyDescent="0.3">
      <c r="P757" s="18"/>
      <c r="Q757" s="18"/>
      <c r="R757" s="18"/>
    </row>
    <row r="758" spans="16:18" ht="14.25" customHeight="1" x14ac:dyDescent="0.3">
      <c r="P758" s="18"/>
      <c r="Q758" s="18"/>
      <c r="R758" s="18"/>
    </row>
    <row r="759" spans="16:18" ht="14.25" customHeight="1" x14ac:dyDescent="0.3">
      <c r="P759" s="18"/>
      <c r="Q759" s="18"/>
      <c r="R759" s="18"/>
    </row>
    <row r="760" spans="16:18" ht="14.25" customHeight="1" x14ac:dyDescent="0.3">
      <c r="P760" s="18"/>
      <c r="Q760" s="18"/>
      <c r="R760" s="18"/>
    </row>
    <row r="761" spans="16:18" ht="14.25" customHeight="1" x14ac:dyDescent="0.3">
      <c r="P761" s="18"/>
      <c r="Q761" s="18"/>
      <c r="R761" s="18"/>
    </row>
    <row r="762" spans="16:18" ht="14.25" customHeight="1" x14ac:dyDescent="0.3">
      <c r="P762" s="18"/>
      <c r="Q762" s="18"/>
      <c r="R762" s="18"/>
    </row>
    <row r="763" spans="16:18" ht="14.25" customHeight="1" x14ac:dyDescent="0.3">
      <c r="P763" s="18"/>
      <c r="Q763" s="18"/>
      <c r="R763" s="18"/>
    </row>
    <row r="764" spans="16:18" ht="14.25" customHeight="1" x14ac:dyDescent="0.3">
      <c r="P764" s="18"/>
      <c r="Q764" s="18"/>
      <c r="R764" s="18"/>
    </row>
    <row r="765" spans="16:18" ht="14.25" customHeight="1" x14ac:dyDescent="0.3">
      <c r="P765" s="18"/>
      <c r="Q765" s="18"/>
      <c r="R765" s="18"/>
    </row>
    <row r="766" spans="16:18" ht="14.25" customHeight="1" x14ac:dyDescent="0.3">
      <c r="P766" s="18"/>
      <c r="Q766" s="18"/>
      <c r="R766" s="18"/>
    </row>
    <row r="767" spans="16:18" ht="14.25" customHeight="1" x14ac:dyDescent="0.3">
      <c r="P767" s="18"/>
      <c r="Q767" s="18"/>
      <c r="R767" s="18"/>
    </row>
    <row r="768" spans="16:18" ht="14.25" customHeight="1" x14ac:dyDescent="0.3">
      <c r="P768" s="18"/>
      <c r="Q768" s="18"/>
      <c r="R768" s="18"/>
    </row>
    <row r="769" spans="16:18" ht="14.25" customHeight="1" x14ac:dyDescent="0.3">
      <c r="P769" s="18"/>
      <c r="Q769" s="18"/>
      <c r="R769" s="18"/>
    </row>
    <row r="770" spans="16:18" ht="14.25" customHeight="1" x14ac:dyDescent="0.3">
      <c r="P770" s="18"/>
      <c r="Q770" s="18"/>
      <c r="R770" s="18"/>
    </row>
    <row r="771" spans="16:18" ht="14.25" customHeight="1" x14ac:dyDescent="0.3">
      <c r="P771" s="18"/>
      <c r="Q771" s="18"/>
      <c r="R771" s="18"/>
    </row>
    <row r="772" spans="16:18" ht="14.25" customHeight="1" x14ac:dyDescent="0.3">
      <c r="P772" s="18"/>
      <c r="Q772" s="18"/>
      <c r="R772" s="18"/>
    </row>
    <row r="773" spans="16:18" ht="14.25" customHeight="1" x14ac:dyDescent="0.3">
      <c r="P773" s="18"/>
      <c r="Q773" s="18"/>
      <c r="R773" s="18"/>
    </row>
    <row r="774" spans="16:18" ht="14.25" customHeight="1" x14ac:dyDescent="0.3">
      <c r="P774" s="18"/>
      <c r="Q774" s="18"/>
      <c r="R774" s="18"/>
    </row>
    <row r="775" spans="16:18" ht="14.25" customHeight="1" x14ac:dyDescent="0.3">
      <c r="P775" s="18"/>
      <c r="Q775" s="18"/>
      <c r="R775" s="18"/>
    </row>
    <row r="776" spans="16:18" ht="14.25" customHeight="1" x14ac:dyDescent="0.3">
      <c r="P776" s="18"/>
      <c r="Q776" s="18"/>
      <c r="R776" s="18"/>
    </row>
    <row r="777" spans="16:18" ht="14.25" customHeight="1" x14ac:dyDescent="0.3">
      <c r="P777" s="18"/>
      <c r="Q777" s="18"/>
      <c r="R777" s="18"/>
    </row>
    <row r="778" spans="16:18" ht="14.25" customHeight="1" x14ac:dyDescent="0.3">
      <c r="P778" s="18"/>
      <c r="Q778" s="18"/>
      <c r="R778" s="18"/>
    </row>
    <row r="779" spans="16:18" ht="14.25" customHeight="1" x14ac:dyDescent="0.3">
      <c r="P779" s="18"/>
      <c r="Q779" s="18"/>
      <c r="R779" s="18"/>
    </row>
    <row r="780" spans="16:18" ht="14.25" customHeight="1" x14ac:dyDescent="0.3">
      <c r="P780" s="18"/>
      <c r="Q780" s="18"/>
      <c r="R780" s="18"/>
    </row>
    <row r="781" spans="16:18" ht="14.25" customHeight="1" x14ac:dyDescent="0.3">
      <c r="P781" s="18"/>
      <c r="Q781" s="18"/>
      <c r="R781" s="18"/>
    </row>
    <row r="782" spans="16:18" ht="14.25" customHeight="1" x14ac:dyDescent="0.3">
      <c r="P782" s="18"/>
      <c r="Q782" s="18"/>
      <c r="R782" s="18"/>
    </row>
    <row r="783" spans="16:18" ht="14.25" customHeight="1" x14ac:dyDescent="0.3">
      <c r="P783" s="18"/>
      <c r="Q783" s="18"/>
      <c r="R783" s="18"/>
    </row>
    <row r="784" spans="16:18" ht="14.25" customHeight="1" x14ac:dyDescent="0.3">
      <c r="P784" s="18"/>
      <c r="Q784" s="18"/>
      <c r="R784" s="18"/>
    </row>
    <row r="785" spans="16:18" ht="14.25" customHeight="1" x14ac:dyDescent="0.3">
      <c r="P785" s="18"/>
      <c r="Q785" s="18"/>
      <c r="R785" s="18"/>
    </row>
    <row r="786" spans="16:18" ht="14.25" customHeight="1" x14ac:dyDescent="0.3">
      <c r="P786" s="18"/>
      <c r="Q786" s="18"/>
      <c r="R786" s="18"/>
    </row>
    <row r="787" spans="16:18" ht="14.25" customHeight="1" x14ac:dyDescent="0.3">
      <c r="P787" s="18"/>
      <c r="Q787" s="18"/>
      <c r="R787" s="18"/>
    </row>
    <row r="788" spans="16:18" ht="14.25" customHeight="1" x14ac:dyDescent="0.3">
      <c r="P788" s="18"/>
      <c r="Q788" s="18"/>
      <c r="R788" s="18"/>
    </row>
    <row r="789" spans="16:18" ht="14.25" customHeight="1" x14ac:dyDescent="0.3">
      <c r="P789" s="18"/>
      <c r="Q789" s="18"/>
      <c r="R789" s="18"/>
    </row>
    <row r="790" spans="16:18" ht="14.25" customHeight="1" x14ac:dyDescent="0.3">
      <c r="P790" s="18"/>
      <c r="Q790" s="18"/>
      <c r="R790" s="18"/>
    </row>
    <row r="791" spans="16:18" ht="14.25" customHeight="1" x14ac:dyDescent="0.3">
      <c r="P791" s="18"/>
      <c r="Q791" s="18"/>
      <c r="R791" s="18"/>
    </row>
    <row r="792" spans="16:18" ht="14.25" customHeight="1" x14ac:dyDescent="0.3">
      <c r="P792" s="18"/>
      <c r="Q792" s="18"/>
      <c r="R792" s="18"/>
    </row>
    <row r="793" spans="16:18" ht="14.25" customHeight="1" x14ac:dyDescent="0.3">
      <c r="P793" s="18"/>
      <c r="Q793" s="18"/>
      <c r="R793" s="18"/>
    </row>
    <row r="794" spans="16:18" ht="14.25" customHeight="1" x14ac:dyDescent="0.3">
      <c r="P794" s="18"/>
      <c r="Q794" s="18"/>
      <c r="R794" s="18"/>
    </row>
    <row r="795" spans="16:18" ht="14.25" customHeight="1" x14ac:dyDescent="0.3">
      <c r="P795" s="18"/>
      <c r="Q795" s="18"/>
      <c r="R795" s="18"/>
    </row>
    <row r="796" spans="16:18" ht="14.25" customHeight="1" x14ac:dyDescent="0.3">
      <c r="P796" s="18"/>
      <c r="Q796" s="18"/>
      <c r="R796" s="18"/>
    </row>
    <row r="797" spans="16:18" ht="14.25" customHeight="1" x14ac:dyDescent="0.3">
      <c r="P797" s="18"/>
      <c r="Q797" s="18"/>
      <c r="R797" s="18"/>
    </row>
    <row r="798" spans="16:18" ht="14.25" customHeight="1" x14ac:dyDescent="0.3">
      <c r="P798" s="18"/>
      <c r="Q798" s="18"/>
      <c r="R798" s="18"/>
    </row>
    <row r="799" spans="16:18" ht="14.25" customHeight="1" x14ac:dyDescent="0.3">
      <c r="P799" s="18"/>
      <c r="Q799" s="18"/>
      <c r="R799" s="18"/>
    </row>
    <row r="800" spans="16:18" ht="14.25" customHeight="1" x14ac:dyDescent="0.3">
      <c r="P800" s="18"/>
      <c r="Q800" s="18"/>
      <c r="R800" s="18"/>
    </row>
    <row r="801" spans="16:18" ht="14.25" customHeight="1" x14ac:dyDescent="0.3">
      <c r="P801" s="18"/>
      <c r="Q801" s="18"/>
      <c r="R801" s="18"/>
    </row>
    <row r="802" spans="16:18" ht="14.25" customHeight="1" x14ac:dyDescent="0.3">
      <c r="P802" s="18"/>
      <c r="Q802" s="18"/>
      <c r="R802" s="18"/>
    </row>
    <row r="803" spans="16:18" ht="14.25" customHeight="1" x14ac:dyDescent="0.3">
      <c r="P803" s="18"/>
      <c r="Q803" s="18"/>
      <c r="R803" s="18"/>
    </row>
    <row r="804" spans="16:18" ht="14.25" customHeight="1" x14ac:dyDescent="0.3">
      <c r="P804" s="18"/>
      <c r="Q804" s="18"/>
      <c r="R804" s="18"/>
    </row>
    <row r="805" spans="16:18" ht="14.25" customHeight="1" x14ac:dyDescent="0.3">
      <c r="P805" s="18"/>
      <c r="Q805" s="18"/>
      <c r="R805" s="18"/>
    </row>
    <row r="806" spans="16:18" ht="14.25" customHeight="1" x14ac:dyDescent="0.3">
      <c r="P806" s="18"/>
      <c r="Q806" s="18"/>
      <c r="R806" s="18"/>
    </row>
    <row r="807" spans="16:18" ht="14.25" customHeight="1" x14ac:dyDescent="0.3">
      <c r="P807" s="18"/>
      <c r="Q807" s="18"/>
      <c r="R807" s="18"/>
    </row>
    <row r="808" spans="16:18" ht="14.25" customHeight="1" x14ac:dyDescent="0.3">
      <c r="P808" s="18"/>
      <c r="Q808" s="18"/>
      <c r="R808" s="18"/>
    </row>
    <row r="809" spans="16:18" ht="14.25" customHeight="1" x14ac:dyDescent="0.3">
      <c r="P809" s="18"/>
      <c r="Q809" s="18"/>
      <c r="R809" s="18"/>
    </row>
    <row r="810" spans="16:18" ht="14.25" customHeight="1" x14ac:dyDescent="0.3">
      <c r="P810" s="18"/>
      <c r="Q810" s="18"/>
      <c r="R810" s="18"/>
    </row>
    <row r="811" spans="16:18" ht="14.25" customHeight="1" x14ac:dyDescent="0.3">
      <c r="P811" s="18"/>
      <c r="Q811" s="18"/>
      <c r="R811" s="18"/>
    </row>
    <row r="812" spans="16:18" ht="14.25" customHeight="1" x14ac:dyDescent="0.3">
      <c r="P812" s="18"/>
      <c r="Q812" s="18"/>
      <c r="R812" s="18"/>
    </row>
    <row r="813" spans="16:18" ht="14.25" customHeight="1" x14ac:dyDescent="0.3">
      <c r="P813" s="18"/>
      <c r="Q813" s="18"/>
      <c r="R813" s="18"/>
    </row>
    <row r="814" spans="16:18" ht="14.25" customHeight="1" x14ac:dyDescent="0.3">
      <c r="P814" s="18"/>
      <c r="Q814" s="18"/>
      <c r="R814" s="18"/>
    </row>
    <row r="815" spans="16:18" ht="14.25" customHeight="1" x14ac:dyDescent="0.3">
      <c r="P815" s="18"/>
      <c r="Q815" s="18"/>
      <c r="R815" s="18"/>
    </row>
    <row r="816" spans="16:18" ht="14.25" customHeight="1" x14ac:dyDescent="0.3">
      <c r="P816" s="18"/>
      <c r="Q816" s="18"/>
      <c r="R816" s="18"/>
    </row>
    <row r="817" spans="16:18" ht="14.25" customHeight="1" x14ac:dyDescent="0.3">
      <c r="P817" s="18"/>
      <c r="Q817" s="18"/>
      <c r="R817" s="18"/>
    </row>
    <row r="818" spans="16:18" ht="14.25" customHeight="1" x14ac:dyDescent="0.3">
      <c r="P818" s="18"/>
      <c r="Q818" s="18"/>
      <c r="R818" s="18"/>
    </row>
    <row r="819" spans="16:18" ht="14.25" customHeight="1" x14ac:dyDescent="0.3">
      <c r="P819" s="18"/>
      <c r="Q819" s="18"/>
      <c r="R819" s="18"/>
    </row>
    <row r="820" spans="16:18" ht="14.25" customHeight="1" x14ac:dyDescent="0.3">
      <c r="P820" s="18"/>
      <c r="Q820" s="18"/>
      <c r="R820" s="18"/>
    </row>
    <row r="821" spans="16:18" ht="14.25" customHeight="1" x14ac:dyDescent="0.3">
      <c r="P821" s="18"/>
      <c r="Q821" s="18"/>
      <c r="R821" s="18"/>
    </row>
    <row r="822" spans="16:18" ht="14.25" customHeight="1" x14ac:dyDescent="0.3">
      <c r="P822" s="18"/>
      <c r="Q822" s="18"/>
      <c r="R822" s="18"/>
    </row>
    <row r="823" spans="16:18" ht="14.25" customHeight="1" x14ac:dyDescent="0.3">
      <c r="P823" s="18"/>
      <c r="Q823" s="18"/>
      <c r="R823" s="18"/>
    </row>
    <row r="824" spans="16:18" ht="14.25" customHeight="1" x14ac:dyDescent="0.3">
      <c r="P824" s="18"/>
      <c r="Q824" s="18"/>
      <c r="R824" s="18"/>
    </row>
    <row r="825" spans="16:18" ht="14.25" customHeight="1" x14ac:dyDescent="0.3">
      <c r="P825" s="18"/>
      <c r="Q825" s="18"/>
      <c r="R825" s="18"/>
    </row>
    <row r="826" spans="16:18" ht="14.25" customHeight="1" x14ac:dyDescent="0.3">
      <c r="P826" s="18"/>
      <c r="Q826" s="18"/>
      <c r="R826" s="18"/>
    </row>
    <row r="827" spans="16:18" ht="14.25" customHeight="1" x14ac:dyDescent="0.3">
      <c r="P827" s="18"/>
      <c r="Q827" s="18"/>
      <c r="R827" s="18"/>
    </row>
    <row r="828" spans="16:18" ht="14.25" customHeight="1" x14ac:dyDescent="0.3">
      <c r="P828" s="18"/>
      <c r="Q828" s="18"/>
      <c r="R828" s="18"/>
    </row>
    <row r="829" spans="16:18" ht="14.25" customHeight="1" x14ac:dyDescent="0.3">
      <c r="P829" s="18"/>
      <c r="Q829" s="18"/>
      <c r="R829" s="18"/>
    </row>
    <row r="830" spans="16:18" ht="14.25" customHeight="1" x14ac:dyDescent="0.3">
      <c r="P830" s="18"/>
      <c r="Q830" s="18"/>
      <c r="R830" s="18"/>
    </row>
    <row r="831" spans="16:18" ht="14.25" customHeight="1" x14ac:dyDescent="0.3">
      <c r="P831" s="18"/>
      <c r="Q831" s="18"/>
      <c r="R831" s="18"/>
    </row>
    <row r="832" spans="16:18" ht="14.25" customHeight="1" x14ac:dyDescent="0.3">
      <c r="P832" s="18"/>
      <c r="Q832" s="18"/>
      <c r="R832" s="18"/>
    </row>
    <row r="833" spans="16:18" ht="14.25" customHeight="1" x14ac:dyDescent="0.3">
      <c r="P833" s="18"/>
      <c r="Q833" s="18"/>
      <c r="R833" s="18"/>
    </row>
    <row r="834" spans="16:18" ht="14.25" customHeight="1" x14ac:dyDescent="0.3">
      <c r="P834" s="18"/>
      <c r="Q834" s="18"/>
      <c r="R834" s="18"/>
    </row>
    <row r="835" spans="16:18" ht="14.25" customHeight="1" x14ac:dyDescent="0.3">
      <c r="P835" s="18"/>
      <c r="Q835" s="18"/>
      <c r="R835" s="18"/>
    </row>
    <row r="836" spans="16:18" ht="14.25" customHeight="1" x14ac:dyDescent="0.3">
      <c r="P836" s="18"/>
      <c r="Q836" s="18"/>
      <c r="R836" s="18"/>
    </row>
    <row r="837" spans="16:18" ht="14.25" customHeight="1" x14ac:dyDescent="0.3">
      <c r="P837" s="18"/>
      <c r="Q837" s="18"/>
      <c r="R837" s="18"/>
    </row>
    <row r="838" spans="16:18" ht="14.25" customHeight="1" x14ac:dyDescent="0.3">
      <c r="P838" s="18"/>
      <c r="Q838" s="18"/>
      <c r="R838" s="18"/>
    </row>
    <row r="839" spans="16:18" ht="14.25" customHeight="1" x14ac:dyDescent="0.3">
      <c r="P839" s="18"/>
      <c r="Q839" s="18"/>
      <c r="R839" s="18"/>
    </row>
    <row r="840" spans="16:18" ht="14.25" customHeight="1" x14ac:dyDescent="0.3">
      <c r="P840" s="18"/>
      <c r="Q840" s="18"/>
      <c r="R840" s="18"/>
    </row>
    <row r="841" spans="16:18" ht="14.25" customHeight="1" x14ac:dyDescent="0.3">
      <c r="P841" s="18"/>
      <c r="Q841" s="18"/>
      <c r="R841" s="18"/>
    </row>
    <row r="842" spans="16:18" ht="14.25" customHeight="1" x14ac:dyDescent="0.3">
      <c r="P842" s="18"/>
      <c r="Q842" s="18"/>
      <c r="R842" s="18"/>
    </row>
    <row r="843" spans="16:18" ht="14.25" customHeight="1" x14ac:dyDescent="0.3">
      <c r="P843" s="18"/>
      <c r="Q843" s="18"/>
      <c r="R843" s="18"/>
    </row>
    <row r="844" spans="16:18" ht="14.25" customHeight="1" x14ac:dyDescent="0.3">
      <c r="P844" s="18"/>
      <c r="Q844" s="18"/>
      <c r="R844" s="18"/>
    </row>
    <row r="845" spans="16:18" ht="14.25" customHeight="1" x14ac:dyDescent="0.3">
      <c r="P845" s="18"/>
      <c r="Q845" s="18"/>
      <c r="R845" s="18"/>
    </row>
    <row r="846" spans="16:18" ht="14.25" customHeight="1" x14ac:dyDescent="0.3">
      <c r="P846" s="18"/>
      <c r="Q846" s="18"/>
      <c r="R846" s="18"/>
    </row>
    <row r="847" spans="16:18" ht="14.25" customHeight="1" x14ac:dyDescent="0.3">
      <c r="P847" s="18"/>
      <c r="Q847" s="18"/>
      <c r="R847" s="18"/>
    </row>
    <row r="848" spans="16:18" ht="14.25" customHeight="1" x14ac:dyDescent="0.3">
      <c r="P848" s="18"/>
      <c r="Q848" s="18"/>
      <c r="R848" s="18"/>
    </row>
    <row r="849" spans="16:18" ht="14.25" customHeight="1" x14ac:dyDescent="0.3">
      <c r="P849" s="18"/>
      <c r="Q849" s="18"/>
      <c r="R849" s="18"/>
    </row>
    <row r="850" spans="16:18" ht="14.25" customHeight="1" x14ac:dyDescent="0.3">
      <c r="P850" s="18"/>
      <c r="Q850" s="18"/>
      <c r="R850" s="18"/>
    </row>
    <row r="851" spans="16:18" ht="14.25" customHeight="1" x14ac:dyDescent="0.3">
      <c r="P851" s="18"/>
      <c r="Q851" s="18"/>
      <c r="R851" s="18"/>
    </row>
    <row r="852" spans="16:18" ht="14.25" customHeight="1" x14ac:dyDescent="0.3">
      <c r="P852" s="18"/>
      <c r="Q852" s="18"/>
      <c r="R852" s="18"/>
    </row>
    <row r="853" spans="16:18" ht="14.25" customHeight="1" x14ac:dyDescent="0.3">
      <c r="P853" s="18"/>
      <c r="Q853" s="18"/>
      <c r="R853" s="18"/>
    </row>
    <row r="854" spans="16:18" ht="14.25" customHeight="1" x14ac:dyDescent="0.3">
      <c r="P854" s="18"/>
      <c r="Q854" s="18"/>
      <c r="R854" s="18"/>
    </row>
    <row r="855" spans="16:18" ht="14.25" customHeight="1" x14ac:dyDescent="0.3">
      <c r="P855" s="18"/>
      <c r="Q855" s="18"/>
      <c r="R855" s="18"/>
    </row>
    <row r="856" spans="16:18" ht="14.25" customHeight="1" x14ac:dyDescent="0.3">
      <c r="P856" s="18"/>
      <c r="Q856" s="18"/>
      <c r="R856" s="18"/>
    </row>
    <row r="857" spans="16:18" ht="14.25" customHeight="1" x14ac:dyDescent="0.3">
      <c r="P857" s="18"/>
      <c r="Q857" s="18"/>
      <c r="R857" s="18"/>
    </row>
    <row r="858" spans="16:18" ht="14.25" customHeight="1" x14ac:dyDescent="0.3">
      <c r="P858" s="18"/>
      <c r="Q858" s="18"/>
      <c r="R858" s="18"/>
    </row>
    <row r="859" spans="16:18" ht="14.25" customHeight="1" x14ac:dyDescent="0.3">
      <c r="P859" s="18"/>
      <c r="Q859" s="18"/>
      <c r="R859" s="18"/>
    </row>
    <row r="860" spans="16:18" ht="14.25" customHeight="1" x14ac:dyDescent="0.3">
      <c r="P860" s="18"/>
      <c r="Q860" s="18"/>
      <c r="R860" s="18"/>
    </row>
    <row r="861" spans="16:18" ht="14.25" customHeight="1" x14ac:dyDescent="0.3">
      <c r="P861" s="18"/>
      <c r="Q861" s="18"/>
      <c r="R861" s="18"/>
    </row>
    <row r="862" spans="16:18" ht="14.25" customHeight="1" x14ac:dyDescent="0.3">
      <c r="P862" s="18"/>
      <c r="Q862" s="18"/>
      <c r="R862" s="18"/>
    </row>
    <row r="863" spans="16:18" ht="14.25" customHeight="1" x14ac:dyDescent="0.3">
      <c r="P863" s="18"/>
      <c r="Q863" s="18"/>
      <c r="R863" s="18"/>
    </row>
    <row r="864" spans="16:18" ht="14.25" customHeight="1" x14ac:dyDescent="0.3">
      <c r="P864" s="18"/>
      <c r="Q864" s="18"/>
      <c r="R864" s="18"/>
    </row>
    <row r="865" spans="16:18" ht="14.25" customHeight="1" x14ac:dyDescent="0.3">
      <c r="P865" s="18"/>
      <c r="Q865" s="18"/>
      <c r="R865" s="18"/>
    </row>
    <row r="866" spans="16:18" ht="14.25" customHeight="1" x14ac:dyDescent="0.3">
      <c r="P866" s="18"/>
      <c r="Q866" s="18"/>
      <c r="R866" s="18"/>
    </row>
    <row r="867" spans="16:18" ht="14.25" customHeight="1" x14ac:dyDescent="0.3">
      <c r="P867" s="18"/>
      <c r="Q867" s="18"/>
      <c r="R867" s="18"/>
    </row>
    <row r="868" spans="16:18" ht="14.25" customHeight="1" x14ac:dyDescent="0.3">
      <c r="P868" s="18"/>
      <c r="Q868" s="18"/>
      <c r="R868" s="18"/>
    </row>
    <row r="869" spans="16:18" ht="14.25" customHeight="1" x14ac:dyDescent="0.3">
      <c r="P869" s="18"/>
      <c r="Q869" s="18"/>
      <c r="R869" s="18"/>
    </row>
    <row r="870" spans="16:18" ht="14.25" customHeight="1" x14ac:dyDescent="0.3">
      <c r="P870" s="18"/>
      <c r="Q870" s="18"/>
      <c r="R870" s="18"/>
    </row>
    <row r="871" spans="16:18" ht="14.25" customHeight="1" x14ac:dyDescent="0.3">
      <c r="P871" s="18"/>
      <c r="Q871" s="18"/>
      <c r="R871" s="18"/>
    </row>
    <row r="872" spans="16:18" ht="14.25" customHeight="1" x14ac:dyDescent="0.3">
      <c r="P872" s="18"/>
      <c r="Q872" s="18"/>
      <c r="R872" s="18"/>
    </row>
    <row r="873" spans="16:18" ht="14.25" customHeight="1" x14ac:dyDescent="0.3">
      <c r="P873" s="18"/>
      <c r="Q873" s="18"/>
      <c r="R873" s="18"/>
    </row>
    <row r="874" spans="16:18" ht="14.25" customHeight="1" x14ac:dyDescent="0.3">
      <c r="P874" s="18"/>
      <c r="Q874" s="18"/>
      <c r="R874" s="18"/>
    </row>
    <row r="875" spans="16:18" ht="14.25" customHeight="1" x14ac:dyDescent="0.3">
      <c r="P875" s="18"/>
      <c r="Q875" s="18"/>
      <c r="R875" s="18"/>
    </row>
    <row r="876" spans="16:18" ht="14.25" customHeight="1" x14ac:dyDescent="0.3">
      <c r="P876" s="18"/>
      <c r="Q876" s="18"/>
      <c r="R876" s="18"/>
    </row>
    <row r="877" spans="16:18" ht="14.25" customHeight="1" x14ac:dyDescent="0.3">
      <c r="P877" s="18"/>
      <c r="Q877" s="18"/>
      <c r="R877" s="18"/>
    </row>
    <row r="878" spans="16:18" ht="14.25" customHeight="1" x14ac:dyDescent="0.3">
      <c r="P878" s="18"/>
      <c r="Q878" s="18"/>
      <c r="R878" s="18"/>
    </row>
    <row r="879" spans="16:18" ht="14.25" customHeight="1" x14ac:dyDescent="0.3">
      <c r="P879" s="18"/>
      <c r="Q879" s="18"/>
      <c r="R879" s="18"/>
    </row>
    <row r="880" spans="16:18" ht="14.25" customHeight="1" x14ac:dyDescent="0.3">
      <c r="P880" s="18"/>
      <c r="Q880" s="18"/>
      <c r="R880" s="18"/>
    </row>
    <row r="881" spans="16:18" ht="14.25" customHeight="1" x14ac:dyDescent="0.3">
      <c r="P881" s="18"/>
      <c r="Q881" s="18"/>
      <c r="R881" s="18"/>
    </row>
    <row r="882" spans="16:18" ht="14.25" customHeight="1" x14ac:dyDescent="0.3">
      <c r="P882" s="18"/>
      <c r="Q882" s="18"/>
      <c r="R882" s="18"/>
    </row>
    <row r="883" spans="16:18" ht="14.25" customHeight="1" x14ac:dyDescent="0.3">
      <c r="P883" s="18"/>
      <c r="Q883" s="18"/>
      <c r="R883" s="18"/>
    </row>
    <row r="884" spans="16:18" ht="14.25" customHeight="1" x14ac:dyDescent="0.3">
      <c r="P884" s="18"/>
      <c r="Q884" s="18"/>
      <c r="R884" s="18"/>
    </row>
    <row r="885" spans="16:18" ht="14.25" customHeight="1" x14ac:dyDescent="0.3">
      <c r="P885" s="18"/>
      <c r="Q885" s="18"/>
      <c r="R885" s="18"/>
    </row>
    <row r="886" spans="16:18" ht="14.25" customHeight="1" x14ac:dyDescent="0.3">
      <c r="P886" s="18"/>
      <c r="Q886" s="18"/>
      <c r="R886" s="18"/>
    </row>
    <row r="887" spans="16:18" ht="14.25" customHeight="1" x14ac:dyDescent="0.3">
      <c r="P887" s="18"/>
      <c r="Q887" s="18"/>
      <c r="R887" s="18"/>
    </row>
    <row r="888" spans="16:18" ht="14.25" customHeight="1" x14ac:dyDescent="0.3">
      <c r="P888" s="18"/>
      <c r="Q888" s="18"/>
      <c r="R888" s="18"/>
    </row>
    <row r="889" spans="16:18" ht="14.25" customHeight="1" x14ac:dyDescent="0.3">
      <c r="P889" s="18"/>
      <c r="Q889" s="18"/>
      <c r="R889" s="18"/>
    </row>
    <row r="890" spans="16:18" ht="14.25" customHeight="1" x14ac:dyDescent="0.3">
      <c r="P890" s="18"/>
      <c r="Q890" s="18"/>
      <c r="R890" s="18"/>
    </row>
    <row r="891" spans="16:18" ht="14.25" customHeight="1" x14ac:dyDescent="0.3">
      <c r="P891" s="18"/>
      <c r="Q891" s="18"/>
      <c r="R891" s="18"/>
    </row>
    <row r="892" spans="16:18" ht="14.25" customHeight="1" x14ac:dyDescent="0.3">
      <c r="P892" s="18"/>
      <c r="Q892" s="18"/>
      <c r="R892" s="18"/>
    </row>
    <row r="893" spans="16:18" ht="14.25" customHeight="1" x14ac:dyDescent="0.3">
      <c r="P893" s="18"/>
      <c r="Q893" s="18"/>
      <c r="R893" s="18"/>
    </row>
    <row r="894" spans="16:18" ht="14.25" customHeight="1" x14ac:dyDescent="0.3">
      <c r="P894" s="18"/>
      <c r="Q894" s="18"/>
      <c r="R894" s="18"/>
    </row>
    <row r="895" spans="16:18" ht="14.25" customHeight="1" x14ac:dyDescent="0.3">
      <c r="P895" s="18"/>
      <c r="Q895" s="18"/>
      <c r="R895" s="18"/>
    </row>
    <row r="896" spans="16:18" ht="14.25" customHeight="1" x14ac:dyDescent="0.3">
      <c r="P896" s="18"/>
      <c r="Q896" s="18"/>
      <c r="R896" s="18"/>
    </row>
    <row r="897" spans="16:18" ht="14.25" customHeight="1" x14ac:dyDescent="0.3">
      <c r="P897" s="18"/>
      <c r="Q897" s="18"/>
      <c r="R897" s="18"/>
    </row>
    <row r="898" spans="16:18" ht="14.25" customHeight="1" x14ac:dyDescent="0.3">
      <c r="P898" s="18"/>
      <c r="Q898" s="18"/>
      <c r="R898" s="18"/>
    </row>
    <row r="899" spans="16:18" ht="14.25" customHeight="1" x14ac:dyDescent="0.3">
      <c r="P899" s="18"/>
      <c r="Q899" s="18"/>
      <c r="R899" s="18"/>
    </row>
    <row r="900" spans="16:18" ht="14.25" customHeight="1" x14ac:dyDescent="0.3">
      <c r="P900" s="18"/>
      <c r="Q900" s="18"/>
      <c r="R900" s="18"/>
    </row>
  </sheetData>
  <mergeCells count="11">
    <mergeCell ref="A325:A404"/>
    <mergeCell ref="R3:R4"/>
    <mergeCell ref="A5:A84"/>
    <mergeCell ref="A85:A164"/>
    <mergeCell ref="A165:A244"/>
    <mergeCell ref="A245:A324"/>
    <mergeCell ref="I2:J2"/>
    <mergeCell ref="K2:L2"/>
    <mergeCell ref="I3:M3"/>
    <mergeCell ref="P3:P4"/>
    <mergeCell ref="Q3:Q4"/>
  </mergeCells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02"/>
  <sheetViews>
    <sheetView topLeftCell="X9" zoomScaleNormal="100" workbookViewId="0">
      <selection activeCell="AE9" sqref="AE9"/>
    </sheetView>
  </sheetViews>
  <sheetFormatPr defaultColWidth="14.44140625" defaultRowHeight="14.4" x14ac:dyDescent="0.3"/>
  <cols>
    <col min="1" max="1" width="11.88671875" customWidth="1"/>
    <col min="2" max="2" width="5.109375" customWidth="1"/>
    <col min="3" max="6" width="8.6640625" customWidth="1"/>
    <col min="7" max="7" width="16" customWidth="1"/>
    <col min="8" max="13" width="8.6640625" customWidth="1"/>
    <col min="14" max="14" width="9.5546875" customWidth="1"/>
    <col min="16" max="17" width="14.109375" customWidth="1"/>
    <col min="18" max="18" width="18.5546875" customWidth="1"/>
    <col min="19" max="24" width="8.6640625" customWidth="1"/>
  </cols>
  <sheetData>
    <row r="1" spans="1:34" ht="14.25" customHeight="1" x14ac:dyDescent="0.3">
      <c r="A1" s="16"/>
      <c r="B1" s="16"/>
      <c r="C1" s="16"/>
      <c r="D1" s="17"/>
      <c r="I1" s="16"/>
      <c r="P1" s="18"/>
      <c r="Q1" s="18"/>
      <c r="R1" s="18"/>
    </row>
    <row r="2" spans="1:34" ht="14.25" customHeight="1" x14ac:dyDescent="0.3">
      <c r="A2" s="16"/>
      <c r="B2" s="16"/>
      <c r="C2" s="16"/>
      <c r="D2" s="17"/>
      <c r="I2" s="1" t="s">
        <v>39</v>
      </c>
      <c r="J2" s="1"/>
      <c r="K2" s="1"/>
      <c r="L2" s="1"/>
      <c r="M2" s="1"/>
      <c r="N2" s="1"/>
      <c r="O2" s="1"/>
      <c r="P2" s="1"/>
      <c r="Q2" s="1"/>
      <c r="R2" s="1"/>
      <c r="AF2" t="s">
        <v>13</v>
      </c>
      <c r="AG2" t="s">
        <v>14</v>
      </c>
      <c r="AH2" t="s">
        <v>40</v>
      </c>
    </row>
    <row r="3" spans="1:34" ht="14.25" customHeight="1" thickBot="1" x14ac:dyDescent="0.35">
      <c r="A3" s="16"/>
      <c r="B3" s="16"/>
      <c r="C3" s="16"/>
      <c r="D3" s="17"/>
      <c r="I3" s="16"/>
      <c r="P3" s="18"/>
      <c r="Q3" s="18"/>
      <c r="R3" s="18"/>
      <c r="Z3" s="67" t="s">
        <v>13</v>
      </c>
      <c r="AA3" s="67" t="s">
        <v>41</v>
      </c>
      <c r="AB3" s="67" t="s">
        <v>42</v>
      </c>
      <c r="AF3">
        <v>1</v>
      </c>
      <c r="AG3">
        <v>0.12996490026568225</v>
      </c>
      <c r="AH3">
        <v>9.0967615292804907E-2</v>
      </c>
    </row>
    <row r="4" spans="1:34" ht="14.25" customHeight="1" thickBot="1" x14ac:dyDescent="0.35">
      <c r="A4" s="16"/>
      <c r="B4" s="16"/>
      <c r="C4" s="16"/>
      <c r="D4" s="17"/>
      <c r="G4" s="19" t="s">
        <v>2</v>
      </c>
      <c r="I4" s="9" t="s">
        <v>3</v>
      </c>
      <c r="J4" s="9"/>
      <c r="K4" s="8">
        <v>0.1</v>
      </c>
      <c r="L4" s="8"/>
      <c r="P4" s="18"/>
      <c r="Q4" s="18"/>
      <c r="R4" s="18"/>
      <c r="W4">
        <v>0</v>
      </c>
      <c r="Z4" s="31">
        <v>1</v>
      </c>
      <c r="AA4" s="31">
        <f>S26</f>
        <v>9.0967615292804907E-2</v>
      </c>
      <c r="AB4" s="31">
        <f>H26</f>
        <v>0.85</v>
      </c>
      <c r="AF4">
        <v>2</v>
      </c>
      <c r="AG4">
        <v>3.4548306492121227E-2</v>
      </c>
      <c r="AH4">
        <v>6.0245071958491402E-2</v>
      </c>
    </row>
    <row r="5" spans="1:34" ht="14.25" customHeight="1" thickBot="1" x14ac:dyDescent="0.35">
      <c r="C5" s="16"/>
      <c r="G5" s="20" t="s">
        <v>4</v>
      </c>
      <c r="H5" s="21" t="s">
        <v>5</v>
      </c>
      <c r="I5" s="7" t="s">
        <v>6</v>
      </c>
      <c r="J5" s="7"/>
      <c r="K5" s="7"/>
      <c r="L5" s="7"/>
      <c r="M5" s="7"/>
      <c r="N5" s="22" t="s">
        <v>7</v>
      </c>
      <c r="O5" s="23" t="s">
        <v>8</v>
      </c>
      <c r="P5" s="6" t="s">
        <v>9</v>
      </c>
      <c r="Q5" s="6" t="s">
        <v>10</v>
      </c>
      <c r="R5" s="5" t="s">
        <v>11</v>
      </c>
      <c r="S5" s="21" t="s">
        <v>12</v>
      </c>
      <c r="Z5" s="31">
        <v>2</v>
      </c>
      <c r="AA5" s="31">
        <f>S46</f>
        <v>6.0245071958491402E-2</v>
      </c>
      <c r="AB5" s="31">
        <f>H46</f>
        <v>0.95</v>
      </c>
      <c r="AF5">
        <v>3</v>
      </c>
      <c r="AG5">
        <v>2.2989957133828679E-2</v>
      </c>
      <c r="AH5">
        <v>4.2968768066169311E-2</v>
      </c>
    </row>
    <row r="6" spans="1:34" ht="14.25" customHeight="1" thickBot="1" x14ac:dyDescent="0.35">
      <c r="A6" s="25" t="s">
        <v>15</v>
      </c>
      <c r="B6" s="26" t="s">
        <v>16</v>
      </c>
      <c r="C6" s="24" t="s">
        <v>17</v>
      </c>
      <c r="D6" s="24" t="s">
        <v>18</v>
      </c>
      <c r="E6" s="24" t="s">
        <v>19</v>
      </c>
      <c r="F6" s="24" t="s">
        <v>20</v>
      </c>
      <c r="G6" s="27" t="s">
        <v>21</v>
      </c>
      <c r="I6" s="28" t="s">
        <v>22</v>
      </c>
      <c r="J6" s="29" t="s">
        <v>23</v>
      </c>
      <c r="K6" s="30" t="s">
        <v>24</v>
      </c>
      <c r="L6" s="30" t="s">
        <v>25</v>
      </c>
      <c r="M6" s="30" t="s">
        <v>26</v>
      </c>
      <c r="N6" s="30" t="s">
        <v>27</v>
      </c>
      <c r="O6" s="30" t="s">
        <v>28</v>
      </c>
      <c r="P6" s="6"/>
      <c r="Q6" s="6"/>
      <c r="R6" s="5"/>
      <c r="T6" s="31"/>
      <c r="U6" s="31"/>
      <c r="V6" s="31"/>
      <c r="W6" s="31"/>
      <c r="X6" s="31"/>
      <c r="Z6" s="31">
        <v>3</v>
      </c>
      <c r="AA6" s="31">
        <f>S66</f>
        <v>4.2968768066169311E-2</v>
      </c>
      <c r="AB6" s="31">
        <f>H66</f>
        <v>0.95</v>
      </c>
      <c r="AF6">
        <v>4</v>
      </c>
      <c r="AG6">
        <v>1.6535226737225964E-2</v>
      </c>
      <c r="AH6">
        <v>3.291811854211453E-2</v>
      </c>
    </row>
    <row r="7" spans="1:34" ht="14.25" customHeight="1" thickBot="1" x14ac:dyDescent="0.35">
      <c r="A7" s="4" t="s">
        <v>34</v>
      </c>
      <c r="B7" s="32">
        <v>1</v>
      </c>
      <c r="C7" s="64">
        <v>5</v>
      </c>
      <c r="D7" s="65">
        <v>3.5</v>
      </c>
      <c r="E7" s="65">
        <v>1.3</v>
      </c>
      <c r="F7" s="65">
        <v>0.3</v>
      </c>
      <c r="G7" s="66">
        <v>0</v>
      </c>
      <c r="I7" s="38">
        <f>'SLP-Training'!I84-'SLP-Training'!$K$2*'SLP-Training'!T84</f>
        <v>0.42949740154291222</v>
      </c>
      <c r="J7" s="40">
        <f>'SLP-Training'!J84-'SLP-Training'!$K$2*'SLP-Training'!U84</f>
        <v>-0.20421250194653454</v>
      </c>
      <c r="K7" s="40">
        <f>'SLP-Training'!K84-'SLP-Training'!$K$2*'SLP-Training'!V84</f>
        <v>0.23458013228195018</v>
      </c>
      <c r="L7" s="40">
        <f>'SLP-Training'!L84-'SLP-Training'!$K$2*'SLP-Training'!W84</f>
        <v>0.65708429190895645</v>
      </c>
      <c r="M7" s="40">
        <f>'SLP-Training'!M84-'SLP-Training'!$K$2*'SLP-Training'!X84</f>
        <v>0.58649397572020412</v>
      </c>
      <c r="N7" s="35">
        <f t="shared" ref="N7:N46" si="0">I7+J7*C7+K7*D7+L7*E7+F7*M7</f>
        <v>1.2596231269947702</v>
      </c>
      <c r="O7" s="35">
        <f t="shared" ref="O7:O46" si="1">1/(1+EXP(-N7))</f>
        <v>0.77896122436849746</v>
      </c>
      <c r="P7" s="36">
        <f t="shared" ref="P7:P46" si="2">IF(O7&gt;0.5,1,0)</f>
        <v>1</v>
      </c>
      <c r="Q7" s="36">
        <f t="shared" ref="Q7:Q46" si="3">O7-G7</f>
        <v>0.77896122436849746</v>
      </c>
      <c r="R7" s="37">
        <f t="shared" ref="R7:R46" si="4">Q7^2</f>
        <v>0.6067805890696687</v>
      </c>
      <c r="T7" s="31">
        <f t="shared" ref="T7:T46" si="5">2*(O7-G7)*(1-O7)*O7</f>
        <v>0.26824407696984287</v>
      </c>
      <c r="U7" s="31">
        <f t="shared" ref="U7:U46" si="6">2*(O7-G7)*(1-O7)*O7*C7</f>
        <v>1.3412203848492144</v>
      </c>
      <c r="V7" s="31">
        <f t="shared" ref="V7:V46" si="7">2*(O7-G7)*(1-O7)*O7*D7</f>
        <v>0.93885426939445005</v>
      </c>
      <c r="W7" s="31">
        <f t="shared" ref="W7:W46" si="8">2*(O7-G7)*(1-O7)*O7*E7</f>
        <v>0.34871730006079577</v>
      </c>
      <c r="X7" s="31">
        <f t="shared" ref="X7:X46" si="9">2*(O7-G7)*(1-O7)*O7*F7</f>
        <v>8.0473223090952853E-2</v>
      </c>
      <c r="Z7" s="31">
        <v>4</v>
      </c>
      <c r="AA7" s="31">
        <f>S86</f>
        <v>3.291811854211453E-2</v>
      </c>
      <c r="AB7" s="31">
        <f>H86</f>
        <v>1</v>
      </c>
      <c r="AF7">
        <v>5</v>
      </c>
      <c r="AG7">
        <v>1.2222388106167001E-2</v>
      </c>
      <c r="AH7">
        <v>2.6561282710642602E-2</v>
      </c>
    </row>
    <row r="8" spans="1:34" ht="14.25" customHeight="1" thickBot="1" x14ac:dyDescent="0.35">
      <c r="A8" s="4"/>
      <c r="B8" s="38">
        <v>2</v>
      </c>
      <c r="C8" s="64">
        <v>4.5</v>
      </c>
      <c r="D8" s="65">
        <v>2.2999999999999998</v>
      </c>
      <c r="E8" s="65">
        <v>1.3</v>
      </c>
      <c r="F8" s="65">
        <v>0.3</v>
      </c>
      <c r="G8" s="66">
        <v>0</v>
      </c>
      <c r="I8" s="38">
        <f>I7-K4*T7</f>
        <v>0.40267299384592792</v>
      </c>
      <c r="J8" s="40">
        <f>J7-K4*U7</f>
        <v>-0.33833454043145594</v>
      </c>
      <c r="K8" s="40">
        <f>K7-K4*V7</f>
        <v>0.14069470534250517</v>
      </c>
      <c r="L8" s="40">
        <f>L7-K4*W7</f>
        <v>0.62221256190287688</v>
      </c>
      <c r="M8" s="40">
        <f>M7-K4*X7</f>
        <v>0.57844665341110879</v>
      </c>
      <c r="N8" s="35">
        <f t="shared" si="0"/>
        <v>0.18617571068921068</v>
      </c>
      <c r="O8" s="35">
        <f t="shared" si="1"/>
        <v>0.54640995224122135</v>
      </c>
      <c r="P8" s="36">
        <f t="shared" si="2"/>
        <v>1</v>
      </c>
      <c r="Q8" s="36">
        <f t="shared" si="3"/>
        <v>0.54640995224122135</v>
      </c>
      <c r="R8" s="37">
        <f t="shared" si="4"/>
        <v>0.29856383590825381</v>
      </c>
      <c r="T8" s="31">
        <f t="shared" si="5"/>
        <v>0.27085116917733798</v>
      </c>
      <c r="U8" s="31">
        <f t="shared" si="6"/>
        <v>1.2188302612980209</v>
      </c>
      <c r="V8" s="31">
        <f t="shared" si="7"/>
        <v>0.6229576891078773</v>
      </c>
      <c r="W8" s="31">
        <f t="shared" si="8"/>
        <v>0.35210651993053937</v>
      </c>
      <c r="X8" s="31">
        <f t="shared" si="9"/>
        <v>8.1255350753201394E-2</v>
      </c>
      <c r="Z8" s="31">
        <v>5</v>
      </c>
      <c r="AA8" s="31">
        <f>S106</f>
        <v>2.6561282710642602E-2</v>
      </c>
      <c r="AB8" s="31">
        <f>H106</f>
        <v>1</v>
      </c>
    </row>
    <row r="9" spans="1:34" ht="14.25" customHeight="1" thickBot="1" x14ac:dyDescent="0.35">
      <c r="A9" s="4"/>
      <c r="B9" s="32">
        <v>3</v>
      </c>
      <c r="C9" s="64">
        <v>4.4000000000000004</v>
      </c>
      <c r="D9" s="65">
        <v>3.2</v>
      </c>
      <c r="E9" s="65">
        <v>1.3</v>
      </c>
      <c r="F9" s="65">
        <v>0.2</v>
      </c>
      <c r="G9" s="66">
        <v>0</v>
      </c>
      <c r="I9" s="38">
        <f>I8-K4*T8</f>
        <v>0.37558787692819412</v>
      </c>
      <c r="J9" s="40">
        <f>J8-K4*U8</f>
        <v>-0.46021756656125801</v>
      </c>
      <c r="K9" s="40">
        <f>K8-K4*V8</f>
        <v>7.8398936431717442E-2</v>
      </c>
      <c r="L9" s="40">
        <f>L8-K4*W8</f>
        <v>0.58700190990982293</v>
      </c>
      <c r="M9" s="40">
        <f>M8-K4*X8</f>
        <v>0.57032111833578869</v>
      </c>
      <c r="N9" s="35">
        <f t="shared" si="0"/>
        <v>-0.52132611280991781</v>
      </c>
      <c r="O9" s="35">
        <f t="shared" si="1"/>
        <v>0.37254219648082704</v>
      </c>
      <c r="P9" s="36">
        <f t="shared" si="2"/>
        <v>0</v>
      </c>
      <c r="Q9" s="36">
        <f t="shared" si="3"/>
        <v>0.37254219648082704</v>
      </c>
      <c r="R9" s="37">
        <f t="shared" si="4"/>
        <v>0.13878768815875914</v>
      </c>
      <c r="T9" s="31">
        <f t="shared" si="5"/>
        <v>0.17416683593519786</v>
      </c>
      <c r="U9" s="31">
        <f t="shared" si="6"/>
        <v>0.76633407811487064</v>
      </c>
      <c r="V9" s="31">
        <f t="shared" si="7"/>
        <v>0.5573338749926332</v>
      </c>
      <c r="W9" s="31">
        <f t="shared" si="8"/>
        <v>0.22641688671575722</v>
      </c>
      <c r="X9" s="31">
        <f t="shared" si="9"/>
        <v>3.4833367187039575E-2</v>
      </c>
    </row>
    <row r="10" spans="1:34" ht="14.25" customHeight="1" thickBot="1" x14ac:dyDescent="0.35">
      <c r="A10" s="4"/>
      <c r="B10" s="38">
        <v>4</v>
      </c>
      <c r="C10" s="64">
        <v>5</v>
      </c>
      <c r="D10" s="65">
        <v>3.5</v>
      </c>
      <c r="E10" s="65">
        <v>1.6</v>
      </c>
      <c r="F10" s="65">
        <v>0.6</v>
      </c>
      <c r="G10" s="66">
        <v>0</v>
      </c>
      <c r="I10" s="38">
        <f>I9-K4*T9</f>
        <v>0.35817119333467434</v>
      </c>
      <c r="J10" s="40">
        <f>J9-K4*U9</f>
        <v>-0.53685097437274509</v>
      </c>
      <c r="K10" s="40">
        <f>K9-K4*V9</f>
        <v>2.2665548932454122E-2</v>
      </c>
      <c r="L10" s="40">
        <f>L9-K4*W9</f>
        <v>0.56436022123824725</v>
      </c>
      <c r="M10" s="40">
        <f>M9-K4*X9</f>
        <v>0.56683778161708476</v>
      </c>
      <c r="N10" s="35">
        <f t="shared" si="0"/>
        <v>-1.003675234314015</v>
      </c>
      <c r="O10" s="35">
        <f t="shared" si="1"/>
        <v>0.26821944036131323</v>
      </c>
      <c r="P10" s="36">
        <f t="shared" si="2"/>
        <v>0</v>
      </c>
      <c r="Q10" s="36">
        <f t="shared" si="3"/>
        <v>0.26821944036131323</v>
      </c>
      <c r="R10" s="37">
        <f t="shared" si="4"/>
        <v>7.1941668187736063E-2</v>
      </c>
      <c r="T10" s="31">
        <f t="shared" si="5"/>
        <v>0.10529102841552442</v>
      </c>
      <c r="U10" s="31">
        <f t="shared" si="6"/>
        <v>0.52645514207762212</v>
      </c>
      <c r="V10" s="31">
        <f t="shared" si="7"/>
        <v>0.36851859945433546</v>
      </c>
      <c r="W10" s="31">
        <f t="shared" si="8"/>
        <v>0.16846564546483908</v>
      </c>
      <c r="X10" s="31">
        <f t="shared" si="9"/>
        <v>6.3174617049314652E-2</v>
      </c>
    </row>
    <row r="11" spans="1:34" ht="14.25" customHeight="1" thickBot="1" x14ac:dyDescent="0.35">
      <c r="A11" s="4"/>
      <c r="B11" s="32">
        <v>5</v>
      </c>
      <c r="C11" s="64">
        <v>5.0999999999999996</v>
      </c>
      <c r="D11" s="65">
        <v>3.8</v>
      </c>
      <c r="E11" s="65">
        <v>1.9</v>
      </c>
      <c r="F11" s="65">
        <v>0.4</v>
      </c>
      <c r="G11" s="66">
        <v>0</v>
      </c>
      <c r="I11" s="38">
        <f>I10-K4*T10</f>
        <v>0.34764209049312189</v>
      </c>
      <c r="J11" s="40">
        <f>J10-K4*U10</f>
        <v>-0.58949648858050729</v>
      </c>
      <c r="K11" s="40">
        <f>K10-K4*V10</f>
        <v>-1.4186311012979423E-2</v>
      </c>
      <c r="L11" s="40">
        <f>L10-K4*W10</f>
        <v>0.54751365669176333</v>
      </c>
      <c r="M11" s="40">
        <f>M10-K4*X10</f>
        <v>0.56052031991215334</v>
      </c>
      <c r="N11" s="35">
        <f t="shared" si="0"/>
        <v>-1.4482139074375755</v>
      </c>
      <c r="O11" s="35">
        <f t="shared" si="1"/>
        <v>0.19027659960393897</v>
      </c>
      <c r="P11" s="36">
        <f t="shared" si="2"/>
        <v>0</v>
      </c>
      <c r="Q11" s="36">
        <f t="shared" si="3"/>
        <v>0.19027659960393897</v>
      </c>
      <c r="R11" s="37">
        <f t="shared" si="4"/>
        <v>3.6205184356837707E-2</v>
      </c>
      <c r="T11" s="31">
        <f t="shared" si="5"/>
        <v>5.8632369978769812E-2</v>
      </c>
      <c r="U11" s="31">
        <f t="shared" si="6"/>
        <v>0.29902508689172602</v>
      </c>
      <c r="V11" s="31">
        <f t="shared" si="7"/>
        <v>0.22280300591932528</v>
      </c>
      <c r="W11" s="31">
        <f t="shared" si="8"/>
        <v>0.11140150295966264</v>
      </c>
      <c r="X11" s="31">
        <f t="shared" si="9"/>
        <v>2.3452947991507926E-2</v>
      </c>
    </row>
    <row r="12" spans="1:34" ht="14.25" customHeight="1" thickBot="1" x14ac:dyDescent="0.35">
      <c r="A12" s="4"/>
      <c r="B12" s="38">
        <v>6</v>
      </c>
      <c r="C12" s="64">
        <v>4.8</v>
      </c>
      <c r="D12" s="65">
        <v>3</v>
      </c>
      <c r="E12" s="65">
        <v>1.4</v>
      </c>
      <c r="F12" s="65">
        <v>0.3</v>
      </c>
      <c r="G12" s="66">
        <v>0</v>
      </c>
      <c r="I12" s="38">
        <f>I11-K4*T11</f>
        <v>0.34177885349524489</v>
      </c>
      <c r="J12" s="40">
        <f>J11-K4*U11</f>
        <v>-0.61939899726967984</v>
      </c>
      <c r="K12" s="40">
        <f>K11-K4*V11</f>
        <v>-3.646661160491195E-2</v>
      </c>
      <c r="L12" s="40">
        <f>L11-K4*W11</f>
        <v>0.53637350639579706</v>
      </c>
      <c r="M12" s="40">
        <f>M11-K4*X11</f>
        <v>0.55817502511300254</v>
      </c>
      <c r="N12" s="35">
        <f t="shared" si="0"/>
        <v>-1.8223607517259373</v>
      </c>
      <c r="O12" s="35">
        <f t="shared" si="1"/>
        <v>0.13915084252890672</v>
      </c>
      <c r="P12" s="36">
        <f t="shared" si="2"/>
        <v>0</v>
      </c>
      <c r="Q12" s="36">
        <f t="shared" si="3"/>
        <v>0.13915084252890672</v>
      </c>
      <c r="R12" s="37">
        <f t="shared" si="4"/>
        <v>1.9362956976504597E-2</v>
      </c>
      <c r="T12" s="31">
        <f t="shared" si="5"/>
        <v>3.3337170398746015E-2</v>
      </c>
      <c r="U12" s="31">
        <f t="shared" si="6"/>
        <v>0.16001841791398086</v>
      </c>
      <c r="V12" s="31">
        <f t="shared" si="7"/>
        <v>0.10001151119623805</v>
      </c>
      <c r="W12" s="31">
        <f t="shared" si="8"/>
        <v>4.6672038558244415E-2</v>
      </c>
      <c r="X12" s="31">
        <f t="shared" si="9"/>
        <v>1.0001151119623804E-2</v>
      </c>
    </row>
    <row r="13" spans="1:34" ht="14.25" customHeight="1" x14ac:dyDescent="0.3">
      <c r="A13" s="4"/>
      <c r="B13" s="32">
        <v>7</v>
      </c>
      <c r="C13" s="64">
        <v>5.0999999999999996</v>
      </c>
      <c r="D13" s="65">
        <v>3.8</v>
      </c>
      <c r="E13" s="65">
        <v>1.6</v>
      </c>
      <c r="F13" s="65">
        <v>0.2</v>
      </c>
      <c r="G13" s="66">
        <v>0</v>
      </c>
      <c r="I13" s="38">
        <f>I12-K4*T12</f>
        <v>0.33844513645537028</v>
      </c>
      <c r="J13" s="40">
        <f>J12-K4*U12</f>
        <v>-0.63540083906107792</v>
      </c>
      <c r="K13" s="40">
        <f>K12-K4*V12</f>
        <v>-4.6467762724535754E-2</v>
      </c>
      <c r="L13" s="40">
        <f>L12-K4*W12</f>
        <v>0.53170630253997264</v>
      </c>
      <c r="M13" s="40">
        <f>M12-K4*X12</f>
        <v>0.55717491000104014</v>
      </c>
      <c r="N13" s="35">
        <f t="shared" si="0"/>
        <v>-2.116511575045199</v>
      </c>
      <c r="O13" s="35">
        <f t="shared" si="1"/>
        <v>0.10750231140665913</v>
      </c>
      <c r="P13" s="36">
        <f t="shared" si="2"/>
        <v>0</v>
      </c>
      <c r="Q13" s="36">
        <f t="shared" si="3"/>
        <v>0.10750231140665913</v>
      </c>
      <c r="R13" s="37">
        <f t="shared" si="4"/>
        <v>1.1556746957774313E-2</v>
      </c>
      <c r="T13" s="31">
        <f t="shared" si="5"/>
        <v>2.0628739894943397E-2</v>
      </c>
      <c r="U13" s="31">
        <f t="shared" si="6"/>
        <v>0.10520657346421132</v>
      </c>
      <c r="V13" s="31">
        <f t="shared" si="7"/>
        <v>7.8389211600784908E-2</v>
      </c>
      <c r="W13" s="31">
        <f t="shared" si="8"/>
        <v>3.300598383190944E-2</v>
      </c>
      <c r="X13" s="31">
        <f t="shared" si="9"/>
        <v>4.12574797898868E-3</v>
      </c>
    </row>
    <row r="14" spans="1:34" ht="14.25" customHeight="1" x14ac:dyDescent="0.3">
      <c r="A14" s="4"/>
      <c r="B14" s="38">
        <v>8</v>
      </c>
      <c r="C14" s="64">
        <v>4.5999999999999996</v>
      </c>
      <c r="D14" s="65">
        <v>3.2</v>
      </c>
      <c r="E14" s="65">
        <v>1.4</v>
      </c>
      <c r="F14" s="65">
        <v>0.2</v>
      </c>
      <c r="G14" s="66">
        <v>0</v>
      </c>
      <c r="I14" s="38">
        <f>I13-K4*T13</f>
        <v>0.33638226246587594</v>
      </c>
      <c r="J14" s="40">
        <f>J13-K4*U13</f>
        <v>-0.64592149640749907</v>
      </c>
      <c r="K14" s="40">
        <f>K13-K4*V13</f>
        <v>-5.4306683884614244E-2</v>
      </c>
      <c r="L14" s="40">
        <f>L13-K4*W13</f>
        <v>0.52840570415678167</v>
      </c>
      <c r="M14" s="40">
        <f>M13-K4*X13</f>
        <v>0.55676233520314122</v>
      </c>
      <c r="N14" s="35">
        <f t="shared" si="0"/>
        <v>-1.9575175565792622</v>
      </c>
      <c r="O14" s="35">
        <f t="shared" si="1"/>
        <v>0.12373595609655855</v>
      </c>
      <c r="P14" s="36">
        <f t="shared" si="2"/>
        <v>0</v>
      </c>
      <c r="Q14" s="36">
        <f t="shared" si="3"/>
        <v>0.12373595609655855</v>
      </c>
      <c r="R14" s="37">
        <f t="shared" si="4"/>
        <v>1.5310586831129465E-2</v>
      </c>
      <c r="T14" s="31">
        <f t="shared" si="5"/>
        <v>2.6832233462360564E-2</v>
      </c>
      <c r="U14" s="31">
        <f t="shared" si="6"/>
        <v>0.12342827392685858</v>
      </c>
      <c r="V14" s="31">
        <f t="shared" si="7"/>
        <v>8.5863147079553809E-2</v>
      </c>
      <c r="W14" s="31">
        <f t="shared" si="8"/>
        <v>3.7565126847304786E-2</v>
      </c>
      <c r="X14" s="31">
        <f t="shared" si="9"/>
        <v>5.366446692472113E-3</v>
      </c>
    </row>
    <row r="15" spans="1:34" ht="14.25" customHeight="1" x14ac:dyDescent="0.3">
      <c r="A15" s="4"/>
      <c r="B15" s="32">
        <v>9</v>
      </c>
      <c r="C15" s="64">
        <v>5.3</v>
      </c>
      <c r="D15" s="65">
        <v>3.7</v>
      </c>
      <c r="E15" s="65">
        <v>1.5</v>
      </c>
      <c r="F15" s="65">
        <v>0.2</v>
      </c>
      <c r="G15" s="66">
        <v>0</v>
      </c>
      <c r="I15" s="38">
        <f>I14-K4*T14</f>
        <v>0.33369903911963988</v>
      </c>
      <c r="J15" s="40">
        <f>J14-K4*U14</f>
        <v>-0.65826432380018496</v>
      </c>
      <c r="K15" s="40">
        <f>K14-K4*V14</f>
        <v>-6.2892998592569624E-2</v>
      </c>
      <c r="L15" s="40">
        <f>L14-K4*W14</f>
        <v>0.52464919147205125</v>
      </c>
      <c r="M15" s="40">
        <f>M14-K4*X14</f>
        <v>0.55622569053389403</v>
      </c>
      <c r="N15" s="35">
        <f t="shared" si="0"/>
        <v>-2.4895870464989924</v>
      </c>
      <c r="O15" s="35">
        <f t="shared" si="1"/>
        <v>7.6591398446475709E-2</v>
      </c>
      <c r="P15" s="36">
        <f t="shared" si="2"/>
        <v>0</v>
      </c>
      <c r="Q15" s="36">
        <f t="shared" si="3"/>
        <v>7.6591398446475709E-2</v>
      </c>
      <c r="R15" s="37">
        <f t="shared" si="4"/>
        <v>5.8662423159868016E-3</v>
      </c>
      <c r="T15" s="31">
        <f t="shared" si="5"/>
        <v>1.0833877226758961E-2</v>
      </c>
      <c r="U15" s="31">
        <f t="shared" si="6"/>
        <v>5.7419549301822491E-2</v>
      </c>
      <c r="V15" s="31">
        <f t="shared" si="7"/>
        <v>4.0085345739008155E-2</v>
      </c>
      <c r="W15" s="31">
        <f t="shared" si="8"/>
        <v>1.625081584013844E-2</v>
      </c>
      <c r="X15" s="31">
        <f t="shared" si="9"/>
        <v>2.1667754453517925E-3</v>
      </c>
    </row>
    <row r="16" spans="1:34" ht="14.25" customHeight="1" x14ac:dyDescent="0.3">
      <c r="A16" s="4"/>
      <c r="B16" s="38">
        <v>10</v>
      </c>
      <c r="C16" s="64">
        <v>5</v>
      </c>
      <c r="D16" s="65">
        <v>3.3</v>
      </c>
      <c r="E16" s="65">
        <v>1.4</v>
      </c>
      <c r="F16" s="65">
        <v>0.2</v>
      </c>
      <c r="G16" s="66">
        <v>0</v>
      </c>
      <c r="I16" s="38">
        <f>I15-K4*T15</f>
        <v>0.33261565139696397</v>
      </c>
      <c r="J16" s="40">
        <f>J15-K4*U15</f>
        <v>-0.66400627873036722</v>
      </c>
      <c r="K16" s="40">
        <f>K15-K4*V15</f>
        <v>-6.6901533166470434E-2</v>
      </c>
      <c r="L16" s="40">
        <f>L15-K4*W15</f>
        <v>0.52302410988803738</v>
      </c>
      <c r="M16" s="40">
        <f>M15-K4*X15</f>
        <v>0.5560090129893589</v>
      </c>
      <c r="N16" s="35">
        <f t="shared" si="0"/>
        <v>-2.3647552452631007</v>
      </c>
      <c r="O16" s="35">
        <f t="shared" si="1"/>
        <v>8.5900070701013298E-2</v>
      </c>
      <c r="P16" s="36">
        <f t="shared" si="2"/>
        <v>0</v>
      </c>
      <c r="Q16" s="36">
        <f t="shared" si="3"/>
        <v>8.5900070701013298E-2</v>
      </c>
      <c r="R16" s="37">
        <f t="shared" si="4"/>
        <v>7.3788221464390832E-3</v>
      </c>
      <c r="T16" s="31">
        <f t="shared" si="5"/>
        <v>1.3489961604739526E-2</v>
      </c>
      <c r="U16" s="31">
        <f t="shared" si="6"/>
        <v>6.7449808023697627E-2</v>
      </c>
      <c r="V16" s="31">
        <f t="shared" si="7"/>
        <v>4.4516873295640434E-2</v>
      </c>
      <c r="W16" s="31">
        <f t="shared" si="8"/>
        <v>1.8885946246635334E-2</v>
      </c>
      <c r="X16" s="31">
        <f t="shared" si="9"/>
        <v>2.6979923209479052E-3</v>
      </c>
    </row>
    <row r="17" spans="1:24" ht="14.25" customHeight="1" x14ac:dyDescent="0.3">
      <c r="A17" s="4"/>
      <c r="B17" s="32">
        <v>11</v>
      </c>
      <c r="C17" s="64">
        <v>5.5</v>
      </c>
      <c r="D17" s="65">
        <v>2.6</v>
      </c>
      <c r="E17" s="65">
        <v>4.4000000000000004</v>
      </c>
      <c r="F17" s="65">
        <v>1.2</v>
      </c>
      <c r="G17" s="66">
        <v>1</v>
      </c>
      <c r="I17" s="38">
        <f>I16-K4*T16</f>
        <v>0.33126665523649002</v>
      </c>
      <c r="J17" s="40">
        <f>J16-K4*U16</f>
        <v>-0.67075125953273695</v>
      </c>
      <c r="K17" s="40">
        <f>K16-K4*V16</f>
        <v>-7.1353220496034472E-2</v>
      </c>
      <c r="L17" s="40">
        <f>L16-K4*W16</f>
        <v>0.52113551526337387</v>
      </c>
      <c r="M17" s="40">
        <f>M16-K4*X16</f>
        <v>0.55573921375726409</v>
      </c>
      <c r="N17" s="35">
        <f t="shared" si="0"/>
        <v>-0.58350032181569034</v>
      </c>
      <c r="O17" s="35">
        <f t="shared" si="1"/>
        <v>0.35812756798994033</v>
      </c>
      <c r="P17" s="36">
        <f t="shared" si="2"/>
        <v>0</v>
      </c>
      <c r="Q17" s="36">
        <f t="shared" si="3"/>
        <v>-0.64187243201005972</v>
      </c>
      <c r="R17" s="37">
        <f t="shared" si="4"/>
        <v>0.41200021897450873</v>
      </c>
      <c r="T17" s="31">
        <f t="shared" si="5"/>
        <v>-0.29509727286532733</v>
      </c>
      <c r="U17" s="31">
        <f t="shared" si="6"/>
        <v>-1.6230350007593004</v>
      </c>
      <c r="V17" s="31">
        <f t="shared" si="7"/>
        <v>-0.76725290944985114</v>
      </c>
      <c r="W17" s="31">
        <f t="shared" si="8"/>
        <v>-1.2984280006074405</v>
      </c>
      <c r="X17" s="31">
        <f t="shared" si="9"/>
        <v>-0.35411672743839279</v>
      </c>
    </row>
    <row r="18" spans="1:24" ht="14.25" customHeight="1" x14ac:dyDescent="0.3">
      <c r="A18" s="4"/>
      <c r="B18" s="38">
        <v>12</v>
      </c>
      <c r="C18" s="64">
        <v>6.1</v>
      </c>
      <c r="D18" s="65">
        <v>3</v>
      </c>
      <c r="E18" s="65">
        <v>4.5999999999999996</v>
      </c>
      <c r="F18" s="65">
        <v>1.4</v>
      </c>
      <c r="G18" s="66">
        <v>1</v>
      </c>
      <c r="I18" s="38">
        <f>I17-K4*T17</f>
        <v>0.36077638252302274</v>
      </c>
      <c r="J18" s="40">
        <f>J17-K4*U17</f>
        <v>-0.50844775945680687</v>
      </c>
      <c r="K18" s="40">
        <f>K17-K4*V17</f>
        <v>5.3720704489506471E-3</v>
      </c>
      <c r="L18" s="40">
        <f>L17-K4*W17</f>
        <v>0.65097831532411798</v>
      </c>
      <c r="M18" s="40">
        <f>M17-K4*X17</f>
        <v>0.59115088650110337</v>
      </c>
      <c r="N18" s="35">
        <f t="shared" si="0"/>
        <v>1.0974727527758397</v>
      </c>
      <c r="O18" s="35">
        <f t="shared" si="1"/>
        <v>0.74978627615682925</v>
      </c>
      <c r="P18" s="36">
        <f t="shared" si="2"/>
        <v>1</v>
      </c>
      <c r="Q18" s="36">
        <f t="shared" si="3"/>
        <v>-0.25021372384317075</v>
      </c>
      <c r="R18" s="37">
        <f t="shared" si="4"/>
        <v>6.2606907599466521E-2</v>
      </c>
      <c r="T18" s="31">
        <f t="shared" si="5"/>
        <v>-9.3883600221397398E-2</v>
      </c>
      <c r="U18" s="31">
        <f t="shared" si="6"/>
        <v>-0.57268996135052408</v>
      </c>
      <c r="V18" s="31">
        <f t="shared" si="7"/>
        <v>-0.28165080066419218</v>
      </c>
      <c r="W18" s="31">
        <f t="shared" si="8"/>
        <v>-0.43186456101842802</v>
      </c>
      <c r="X18" s="31">
        <f t="shared" si="9"/>
        <v>-0.13143704030995634</v>
      </c>
    </row>
    <row r="19" spans="1:24" ht="14.25" customHeight="1" x14ac:dyDescent="0.3">
      <c r="A19" s="4"/>
      <c r="B19" s="32">
        <v>13</v>
      </c>
      <c r="C19" s="64">
        <v>5.8</v>
      </c>
      <c r="D19" s="65">
        <v>2.6</v>
      </c>
      <c r="E19" s="65">
        <v>4</v>
      </c>
      <c r="F19" s="65">
        <v>1.2</v>
      </c>
      <c r="G19" s="66">
        <v>1</v>
      </c>
      <c r="I19" s="38">
        <f>I18-K4*T18</f>
        <v>0.37016474254516246</v>
      </c>
      <c r="J19" s="40">
        <f>J18-K4*U18</f>
        <v>-0.45117876332175444</v>
      </c>
      <c r="K19" s="40">
        <f>K18-K4*V18</f>
        <v>3.3537150515369867E-2</v>
      </c>
      <c r="L19" s="40">
        <f>L18-K4*W18</f>
        <v>0.69416477142596078</v>
      </c>
      <c r="M19" s="40">
        <f>M18-K4*X18</f>
        <v>0.604294590532099</v>
      </c>
      <c r="N19" s="35">
        <f t="shared" si="0"/>
        <v>1.3423371009613103</v>
      </c>
      <c r="O19" s="35">
        <f t="shared" si="1"/>
        <v>0.79287401411978464</v>
      </c>
      <c r="P19" s="36">
        <f t="shared" si="2"/>
        <v>1</v>
      </c>
      <c r="Q19" s="36">
        <f t="shared" si="3"/>
        <v>-0.20712598588021536</v>
      </c>
      <c r="R19" s="37">
        <f t="shared" si="4"/>
        <v>4.2901174026851174E-2</v>
      </c>
      <c r="T19" s="31">
        <f t="shared" si="5"/>
        <v>-6.8030452122241875E-2</v>
      </c>
      <c r="U19" s="31">
        <f t="shared" si="6"/>
        <v>-0.39457662230900287</v>
      </c>
      <c r="V19" s="31">
        <f t="shared" si="7"/>
        <v>-0.17687917551782889</v>
      </c>
      <c r="W19" s="31">
        <f t="shared" si="8"/>
        <v>-0.2721218084889675</v>
      </c>
      <c r="X19" s="31">
        <f t="shared" si="9"/>
        <v>-8.1636542546690241E-2</v>
      </c>
    </row>
    <row r="20" spans="1:24" ht="14.25" customHeight="1" x14ac:dyDescent="0.3">
      <c r="A20" s="4"/>
      <c r="B20" s="38">
        <v>14</v>
      </c>
      <c r="C20" s="64">
        <v>5</v>
      </c>
      <c r="D20" s="65">
        <v>2.2999999999999998</v>
      </c>
      <c r="E20" s="65">
        <v>3.3</v>
      </c>
      <c r="F20" s="65">
        <v>1</v>
      </c>
      <c r="G20" s="66">
        <v>1</v>
      </c>
      <c r="I20" s="38">
        <f>I19-K4*T19</f>
        <v>0.37696778775738665</v>
      </c>
      <c r="J20" s="40">
        <f>J19-K4*U19</f>
        <v>-0.41172110109085414</v>
      </c>
      <c r="K20" s="40">
        <f>K19-K4*V19</f>
        <v>5.1225068067152754E-2</v>
      </c>
      <c r="L20" s="40">
        <f>L19-K4*W19</f>
        <v>0.72137695227485754</v>
      </c>
      <c r="M20" s="40">
        <f>M19-K4*X19</f>
        <v>0.61245824478676802</v>
      </c>
      <c r="N20" s="35">
        <f t="shared" si="0"/>
        <v>1.4291821261513653</v>
      </c>
      <c r="O20" s="35">
        <f t="shared" si="1"/>
        <v>0.80677384956049136</v>
      </c>
      <c r="P20" s="36">
        <f t="shared" si="2"/>
        <v>1</v>
      </c>
      <c r="Q20" s="36">
        <f t="shared" si="3"/>
        <v>-0.19322615043950864</v>
      </c>
      <c r="R20" s="37">
        <f t="shared" si="4"/>
        <v>3.7336345213671622E-2</v>
      </c>
      <c r="T20" s="31">
        <f t="shared" si="5"/>
        <v>-6.0243973913106562E-2</v>
      </c>
      <c r="U20" s="31">
        <f t="shared" si="6"/>
        <v>-0.30121986956553282</v>
      </c>
      <c r="V20" s="31">
        <f t="shared" si="7"/>
        <v>-0.13856114000014508</v>
      </c>
      <c r="W20" s="31">
        <f t="shared" si="8"/>
        <v>-0.19880511391325165</v>
      </c>
      <c r="X20" s="31">
        <f t="shared" si="9"/>
        <v>-6.0243973913106562E-2</v>
      </c>
    </row>
    <row r="21" spans="1:24" ht="14.25" customHeight="1" x14ac:dyDescent="0.3">
      <c r="A21" s="4"/>
      <c r="B21" s="32">
        <v>15</v>
      </c>
      <c r="C21" s="64">
        <v>5.6</v>
      </c>
      <c r="D21" s="65">
        <v>2.7</v>
      </c>
      <c r="E21" s="65">
        <v>4.2</v>
      </c>
      <c r="F21" s="65">
        <v>1.3</v>
      </c>
      <c r="G21" s="66">
        <v>1</v>
      </c>
      <c r="I21" s="38">
        <f>I20-K4*T20</f>
        <v>0.38299218514869732</v>
      </c>
      <c r="J21" s="40">
        <f>J20-K4*U20</f>
        <v>-0.38159911413430087</v>
      </c>
      <c r="K21" s="40">
        <f>K20-K4*V20</f>
        <v>6.5081182067167259E-2</v>
      </c>
      <c r="L21" s="40">
        <f>L20-K4*W20</f>
        <v>0.74125746366618273</v>
      </c>
      <c r="M21" s="40">
        <f>M20-K4*X20</f>
        <v>0.61848264217807869</v>
      </c>
      <c r="N21" s="35">
        <f t="shared" si="0"/>
        <v>2.3390651198074339</v>
      </c>
      <c r="O21" s="35">
        <f t="shared" si="1"/>
        <v>0.91206113140123379</v>
      </c>
      <c r="P21" s="36">
        <f t="shared" si="2"/>
        <v>1</v>
      </c>
      <c r="Q21" s="36">
        <f t="shared" si="3"/>
        <v>-8.7938868598766207E-2</v>
      </c>
      <c r="R21" s="37">
        <f t="shared" si="4"/>
        <v>7.7332446104310688E-3</v>
      </c>
      <c r="T21" s="31">
        <f t="shared" si="5"/>
        <v>-1.4106383657584508E-2</v>
      </c>
      <c r="U21" s="31">
        <f t="shared" si="6"/>
        <v>-7.8995748482473233E-2</v>
      </c>
      <c r="V21" s="31">
        <f t="shared" si="7"/>
        <v>-3.8087235875478173E-2</v>
      </c>
      <c r="W21" s="31">
        <f t="shared" si="8"/>
        <v>-5.9246811361854938E-2</v>
      </c>
      <c r="X21" s="31">
        <f t="shared" si="9"/>
        <v>-1.8338298754859862E-2</v>
      </c>
    </row>
    <row r="22" spans="1:24" ht="14.25" customHeight="1" x14ac:dyDescent="0.3">
      <c r="A22" s="4"/>
      <c r="B22" s="38">
        <v>16</v>
      </c>
      <c r="C22" s="64">
        <v>5.7</v>
      </c>
      <c r="D22" s="65">
        <v>3</v>
      </c>
      <c r="E22" s="65">
        <v>4.2</v>
      </c>
      <c r="F22" s="65">
        <v>1.2</v>
      </c>
      <c r="G22" s="66">
        <v>1</v>
      </c>
      <c r="I22" s="38">
        <f>I21-K4*T21</f>
        <v>0.38440282351445576</v>
      </c>
      <c r="J22" s="40">
        <f>J21-K4*U21</f>
        <v>-0.37369953928605354</v>
      </c>
      <c r="K22" s="40">
        <f>K21-K4*V21</f>
        <v>6.8889905654715075E-2</v>
      </c>
      <c r="L22" s="40">
        <f>L21-K4*W21</f>
        <v>0.74718214480236822</v>
      </c>
      <c r="M22" s="40">
        <f>M21-K4*X21</f>
        <v>0.62031647205356466</v>
      </c>
      <c r="N22" s="35">
        <f t="shared" si="0"/>
        <v>2.3435299411823203</v>
      </c>
      <c r="O22" s="35">
        <f t="shared" si="1"/>
        <v>0.91241857697083095</v>
      </c>
      <c r="P22" s="36">
        <f t="shared" si="2"/>
        <v>1</v>
      </c>
      <c r="Q22" s="36">
        <f t="shared" si="3"/>
        <v>-8.7581423029169048E-2</v>
      </c>
      <c r="R22" s="37">
        <f t="shared" si="4"/>
        <v>7.6705056598142625E-3</v>
      </c>
      <c r="T22" s="31">
        <f t="shared" si="5"/>
        <v>-1.3997423717548868E-2</v>
      </c>
      <c r="U22" s="31">
        <f t="shared" si="6"/>
        <v>-7.9785315190028544E-2</v>
      </c>
      <c r="V22" s="31">
        <f t="shared" si="7"/>
        <v>-4.1992271152646601E-2</v>
      </c>
      <c r="W22" s="31">
        <f t="shared" si="8"/>
        <v>-5.878917961370525E-2</v>
      </c>
      <c r="X22" s="31">
        <f t="shared" si="9"/>
        <v>-1.6796908461058642E-2</v>
      </c>
    </row>
    <row r="23" spans="1:24" ht="14.25" customHeight="1" x14ac:dyDescent="0.3">
      <c r="A23" s="4"/>
      <c r="B23" s="32">
        <v>17</v>
      </c>
      <c r="C23" s="64">
        <v>5.7</v>
      </c>
      <c r="D23" s="65">
        <v>2.9</v>
      </c>
      <c r="E23" s="65">
        <v>4.2</v>
      </c>
      <c r="F23" s="65">
        <v>1.3</v>
      </c>
      <c r="G23" s="66">
        <v>1</v>
      </c>
      <c r="I23" s="38">
        <f>I22-K4*T22</f>
        <v>0.38580256588621065</v>
      </c>
      <c r="J23" s="40">
        <f>J22-K4*U22</f>
        <v>-0.36572100776705069</v>
      </c>
      <c r="K23" s="40">
        <f>K22-K4*V22</f>
        <v>7.3089132769979734E-2</v>
      </c>
      <c r="L23" s="40">
        <f>L22-K4*W22</f>
        <v>0.75306106276373874</v>
      </c>
      <c r="M23" s="40">
        <f>M22-K4*X22</f>
        <v>0.62199616289967052</v>
      </c>
      <c r="N23" s="35">
        <f t="shared" si="0"/>
        <v>2.4846027820242376</v>
      </c>
      <c r="O23" s="35">
        <f t="shared" si="1"/>
        <v>0.92305534389362021</v>
      </c>
      <c r="P23" s="36">
        <f t="shared" si="2"/>
        <v>1</v>
      </c>
      <c r="Q23" s="36">
        <f t="shared" si="3"/>
        <v>-7.6944656106379794E-2</v>
      </c>
      <c r="R23" s="37">
        <f t="shared" si="4"/>
        <v>5.920480103329049E-3</v>
      </c>
      <c r="T23" s="31">
        <f t="shared" si="5"/>
        <v>-1.0929861595587462E-2</v>
      </c>
      <c r="U23" s="31">
        <f t="shared" si="6"/>
        <v>-6.2300211094848533E-2</v>
      </c>
      <c r="V23" s="31">
        <f t="shared" si="7"/>
        <v>-3.1696598627203636E-2</v>
      </c>
      <c r="W23" s="31">
        <f t="shared" si="8"/>
        <v>-4.5905418701467346E-2</v>
      </c>
      <c r="X23" s="31">
        <f t="shared" si="9"/>
        <v>-1.4208820074263702E-2</v>
      </c>
    </row>
    <row r="24" spans="1:24" ht="14.25" customHeight="1" x14ac:dyDescent="0.3">
      <c r="A24" s="4"/>
      <c r="B24" s="38">
        <v>18</v>
      </c>
      <c r="C24" s="64">
        <v>6.2</v>
      </c>
      <c r="D24" s="65">
        <v>2.9</v>
      </c>
      <c r="E24" s="65">
        <v>4.3</v>
      </c>
      <c r="F24" s="65">
        <v>1.3</v>
      </c>
      <c r="G24" s="66">
        <v>1</v>
      </c>
      <c r="I24" s="38">
        <f>I23-K4*T23</f>
        <v>0.38689555204576942</v>
      </c>
      <c r="J24" s="40">
        <f>J23-K4*U23</f>
        <v>-0.35949098665756585</v>
      </c>
      <c r="K24" s="40">
        <f>K23-K4*V23</f>
        <v>7.6258792632700093E-2</v>
      </c>
      <c r="L24" s="40">
        <f>L23-K4*W23</f>
        <v>0.75765160463388548</v>
      </c>
      <c r="M24" s="40">
        <f>M23-K4*X23</f>
        <v>0.62341704490709693</v>
      </c>
      <c r="N24" s="35">
        <f t="shared" si="0"/>
        <v>2.4475459917086249</v>
      </c>
      <c r="O24" s="35">
        <f t="shared" si="1"/>
        <v>0.92038180862391139</v>
      </c>
      <c r="P24" s="36">
        <f t="shared" si="2"/>
        <v>1</v>
      </c>
      <c r="Q24" s="36">
        <f t="shared" si="3"/>
        <v>-7.961819137608861E-2</v>
      </c>
      <c r="R24" s="37">
        <f t="shared" si="4"/>
        <v>6.3390563979994702E-3</v>
      </c>
      <c r="T24" s="31">
        <f t="shared" si="5"/>
        <v>-1.1668704385119459E-2</v>
      </c>
      <c r="U24" s="31">
        <f t="shared" si="6"/>
        <v>-7.2345967187740653E-2</v>
      </c>
      <c r="V24" s="31">
        <f t="shared" si="7"/>
        <v>-3.3839242716846428E-2</v>
      </c>
      <c r="W24" s="31">
        <f t="shared" si="8"/>
        <v>-5.0175428856013671E-2</v>
      </c>
      <c r="X24" s="31">
        <f t="shared" si="9"/>
        <v>-1.5169315700655297E-2</v>
      </c>
    </row>
    <row r="25" spans="1:24" ht="14.25" customHeight="1" x14ac:dyDescent="0.3">
      <c r="A25" s="4"/>
      <c r="B25" s="32">
        <v>19</v>
      </c>
      <c r="C25" s="64">
        <v>5.0999999999999996</v>
      </c>
      <c r="D25" s="65">
        <v>2.5</v>
      </c>
      <c r="E25" s="65">
        <v>3</v>
      </c>
      <c r="F25" s="65">
        <v>1.1000000000000001</v>
      </c>
      <c r="G25" s="66">
        <v>1</v>
      </c>
      <c r="I25" s="38">
        <f>I24-K4*T24</f>
        <v>0.38806242248428136</v>
      </c>
      <c r="J25" s="40">
        <f>J24-K4*U24</f>
        <v>-0.35225638993879177</v>
      </c>
      <c r="K25" s="40">
        <f>K24-K4*V24</f>
        <v>7.9642716904384736E-2</v>
      </c>
      <c r="L25" s="40">
        <f>L24-K4*W24</f>
        <v>0.76266914751948689</v>
      </c>
      <c r="M25" s="40">
        <f>M24-K4*X24</f>
        <v>0.62493397647716242</v>
      </c>
      <c r="N25" s="35">
        <f t="shared" si="0"/>
        <v>1.7660964427407442</v>
      </c>
      <c r="O25" s="35">
        <f t="shared" si="1"/>
        <v>0.85397155362429222</v>
      </c>
      <c r="P25" s="36">
        <f t="shared" si="2"/>
        <v>1</v>
      </c>
      <c r="Q25" s="36">
        <f t="shared" si="3"/>
        <v>-0.14602844637570778</v>
      </c>
      <c r="R25" s="37">
        <f t="shared" si="4"/>
        <v>2.1324307150902961E-2</v>
      </c>
      <c r="T25" s="31">
        <f t="shared" si="5"/>
        <v>-3.6420703415236413E-2</v>
      </c>
      <c r="U25" s="31">
        <f t="shared" si="6"/>
        <v>-0.18574558741770569</v>
      </c>
      <c r="V25" s="31">
        <f t="shared" si="7"/>
        <v>-9.1051758538091027E-2</v>
      </c>
      <c r="W25" s="31">
        <f t="shared" si="8"/>
        <v>-0.10926211024570924</v>
      </c>
      <c r="X25" s="31">
        <f t="shared" si="9"/>
        <v>-4.006277375676006E-2</v>
      </c>
    </row>
    <row r="26" spans="1:24" ht="14.25" customHeight="1" x14ac:dyDescent="0.3">
      <c r="A26" s="4"/>
      <c r="B26" s="38">
        <v>20</v>
      </c>
      <c r="C26" s="64">
        <v>5.7</v>
      </c>
      <c r="D26" s="65">
        <v>2.8</v>
      </c>
      <c r="E26" s="65">
        <v>4.0999999999999996</v>
      </c>
      <c r="F26" s="65">
        <v>1.3</v>
      </c>
      <c r="G26" s="66">
        <v>1</v>
      </c>
      <c r="H26" s="37">
        <f>SUMPRODUCT(--(P7:P26=G7:G26))/20</f>
        <v>0.85</v>
      </c>
      <c r="I26" s="38">
        <f>I25-K4*T25</f>
        <v>0.391704492825805</v>
      </c>
      <c r="J26" s="40">
        <f>J25-K4*U25</f>
        <v>-0.33368183119702122</v>
      </c>
      <c r="K26" s="40">
        <f>K25-K4*V25</f>
        <v>8.8747892758193836E-2</v>
      </c>
      <c r="L26" s="40">
        <f>L25-K4*W25</f>
        <v>0.77359535854405781</v>
      </c>
      <c r="M26" s="40">
        <f>M25-K4*X25</f>
        <v>0.62894025385283847</v>
      </c>
      <c r="N26" s="35">
        <f t="shared" si="0"/>
        <v>2.7275754547650539</v>
      </c>
      <c r="O26" s="35">
        <f t="shared" si="1"/>
        <v>0.93863433199228075</v>
      </c>
      <c r="P26" s="36">
        <f t="shared" si="2"/>
        <v>1</v>
      </c>
      <c r="Q26" s="36">
        <f t="shared" si="3"/>
        <v>-6.1365668007719254E-2</v>
      </c>
      <c r="R26" s="37">
        <f t="shared" si="4"/>
        <v>3.7657452100336186E-3</v>
      </c>
      <c r="S26" s="37">
        <f>AVERAGE(R7:R26)</f>
        <v>9.0967615292804907E-2</v>
      </c>
      <c r="T26" s="31">
        <f t="shared" si="5"/>
        <v>-7.0693154793460729E-3</v>
      </c>
      <c r="U26" s="31">
        <f t="shared" si="6"/>
        <v>-4.0295098232272619E-2</v>
      </c>
      <c r="V26" s="31">
        <f t="shared" si="7"/>
        <v>-1.9794083342169002E-2</v>
      </c>
      <c r="W26" s="31">
        <f t="shared" si="8"/>
        <v>-2.8984193465318896E-2</v>
      </c>
      <c r="X26" s="31">
        <f t="shared" si="9"/>
        <v>-9.1901101231498944E-3</v>
      </c>
    </row>
    <row r="27" spans="1:24" ht="14.25" customHeight="1" x14ac:dyDescent="0.3">
      <c r="A27" s="45" t="s">
        <v>35</v>
      </c>
      <c r="B27" s="46">
        <v>1</v>
      </c>
      <c r="C27" s="47">
        <v>5</v>
      </c>
      <c r="D27" s="48">
        <v>3.5</v>
      </c>
      <c r="E27" s="48">
        <v>1.3</v>
      </c>
      <c r="F27" s="48">
        <v>0.3</v>
      </c>
      <c r="G27" s="49">
        <v>0</v>
      </c>
      <c r="H27" s="50"/>
      <c r="I27" s="51">
        <f>'SLP-Training'!I164-'SLP-Training'!$K$2*'SLP-Training'!T164</f>
        <v>0.39314129889300398</v>
      </c>
      <c r="J27" s="52">
        <f>'SLP-Training'!J164-'SLP-Training'!$K$2*'SLP-Training'!U164</f>
        <v>-0.27405986041419622</v>
      </c>
      <c r="K27" s="52">
        <f>'SLP-Training'!K164-'SLP-Training'!$K$2*'SLP-Training'!V164</f>
        <v>9.0895772013795492E-2</v>
      </c>
      <c r="L27" s="52">
        <f>'SLP-Training'!L164-'SLP-Training'!$K$2*'SLP-Training'!W164</f>
        <v>0.83580128539537724</v>
      </c>
      <c r="M27" s="52">
        <f>'SLP-Training'!M164-'SLP-Training'!$K$2*'SLP-Training'!X164</f>
        <v>0.66970416081543527</v>
      </c>
      <c r="N27" s="53">
        <f t="shared" si="0"/>
        <v>0.62843011812892813</v>
      </c>
      <c r="O27" s="53">
        <f t="shared" si="1"/>
        <v>0.65213341108265777</v>
      </c>
      <c r="P27" s="54">
        <f t="shared" si="2"/>
        <v>1</v>
      </c>
      <c r="Q27" s="54">
        <f t="shared" si="3"/>
        <v>0.65213341108265777</v>
      </c>
      <c r="R27" s="55">
        <f t="shared" si="4"/>
        <v>0.42527798585030269</v>
      </c>
      <c r="T27" s="31">
        <f t="shared" si="5"/>
        <v>0.29588000455876506</v>
      </c>
      <c r="U27" s="31">
        <f t="shared" si="6"/>
        <v>1.4794000227938253</v>
      </c>
      <c r="V27" s="31">
        <f t="shared" si="7"/>
        <v>1.0355800159556776</v>
      </c>
      <c r="W27" s="31">
        <f t="shared" si="8"/>
        <v>0.38464400592639458</v>
      </c>
      <c r="X27" s="31">
        <f t="shared" si="9"/>
        <v>8.8764001367629519E-2</v>
      </c>
    </row>
    <row r="28" spans="1:24" ht="14.25" customHeight="1" x14ac:dyDescent="0.3">
      <c r="A28" s="45"/>
      <c r="B28" s="56">
        <v>2</v>
      </c>
      <c r="C28" s="47">
        <v>4.5</v>
      </c>
      <c r="D28" s="48">
        <v>2.2999999999999998</v>
      </c>
      <c r="E28" s="48">
        <v>1.3</v>
      </c>
      <c r="F28" s="48">
        <v>0.3</v>
      </c>
      <c r="G28" s="49">
        <v>0</v>
      </c>
      <c r="H28" s="50"/>
      <c r="I28" s="51">
        <f>I27-K4*T27</f>
        <v>0.36355329843712747</v>
      </c>
      <c r="J28" s="52">
        <f>J27-K4*U27</f>
        <v>-0.42199986269357875</v>
      </c>
      <c r="K28" s="52">
        <f>K27-K4*V27</f>
        <v>-1.266222958177228E-2</v>
      </c>
      <c r="L28" s="52">
        <f>L27-K4*W27</f>
        <v>0.79733688480273779</v>
      </c>
      <c r="M28" s="52">
        <f>M27-K4*X27</f>
        <v>0.66082776067867233</v>
      </c>
      <c r="N28" s="53">
        <f t="shared" si="0"/>
        <v>-0.32978293327489216</v>
      </c>
      <c r="O28" s="53">
        <f t="shared" si="1"/>
        <v>0.41829343977328487</v>
      </c>
      <c r="P28" s="54">
        <f t="shared" si="2"/>
        <v>0</v>
      </c>
      <c r="Q28" s="54">
        <f t="shared" si="3"/>
        <v>0.41829343977328487</v>
      </c>
      <c r="R28" s="55">
        <f t="shared" si="4"/>
        <v>0.17496940175736669</v>
      </c>
      <c r="T28" s="31">
        <f t="shared" si="5"/>
        <v>0.20356169768240787</v>
      </c>
      <c r="U28" s="31">
        <f t="shared" si="6"/>
        <v>0.91602763957083544</v>
      </c>
      <c r="V28" s="31">
        <f t="shared" si="7"/>
        <v>0.46819190466953803</v>
      </c>
      <c r="W28" s="31">
        <f t="shared" si="8"/>
        <v>0.26463020698713025</v>
      </c>
      <c r="X28" s="31">
        <f t="shared" si="9"/>
        <v>6.1068509304722358E-2</v>
      </c>
    </row>
    <row r="29" spans="1:24" ht="14.25" customHeight="1" x14ac:dyDescent="0.3">
      <c r="A29" s="45"/>
      <c r="B29" s="46">
        <v>3</v>
      </c>
      <c r="C29" s="47">
        <v>4.4000000000000004</v>
      </c>
      <c r="D29" s="48">
        <v>3.2</v>
      </c>
      <c r="E29" s="48">
        <v>1.3</v>
      </c>
      <c r="F29" s="48">
        <v>0.2</v>
      </c>
      <c r="G29" s="49">
        <v>0</v>
      </c>
      <c r="H29" s="50"/>
      <c r="I29" s="51">
        <f>I28-K4*T28</f>
        <v>0.34319712866888669</v>
      </c>
      <c r="J29" s="52">
        <f>J28-K4*U28</f>
        <v>-0.51360262665066236</v>
      </c>
      <c r="K29" s="52">
        <f>K28-K4*V28</f>
        <v>-5.9481420048726086E-2</v>
      </c>
      <c r="L29" s="52">
        <f>L28-K4*W28</f>
        <v>0.77087386410402481</v>
      </c>
      <c r="M29" s="52">
        <f>M28-K4*X28</f>
        <v>0.65472090974820008</v>
      </c>
      <c r="N29" s="53">
        <f t="shared" si="0"/>
        <v>-0.97391476746507921</v>
      </c>
      <c r="O29" s="53">
        <f t="shared" si="1"/>
        <v>0.27410089407234045</v>
      </c>
      <c r="P29" s="54">
        <f t="shared" si="2"/>
        <v>0</v>
      </c>
      <c r="Q29" s="54">
        <f t="shared" si="3"/>
        <v>0.27410089407234045</v>
      </c>
      <c r="R29" s="55">
        <f t="shared" si="4"/>
        <v>7.5131300131256407E-2</v>
      </c>
      <c r="T29" s="31">
        <f t="shared" si="5"/>
        <v>0.10907548718492335</v>
      </c>
      <c r="U29" s="31">
        <f t="shared" si="6"/>
        <v>0.47993214361366276</v>
      </c>
      <c r="V29" s="31">
        <f t="shared" si="7"/>
        <v>0.34904155899175476</v>
      </c>
      <c r="W29" s="31">
        <f t="shared" si="8"/>
        <v>0.14179813334040037</v>
      </c>
      <c r="X29" s="31">
        <f t="shared" si="9"/>
        <v>2.1815097436984673E-2</v>
      </c>
    </row>
    <row r="30" spans="1:24" ht="14.25" customHeight="1" x14ac:dyDescent="0.3">
      <c r="A30" s="45"/>
      <c r="B30" s="56">
        <v>4</v>
      </c>
      <c r="C30" s="47">
        <v>5</v>
      </c>
      <c r="D30" s="48">
        <v>3.5</v>
      </c>
      <c r="E30" s="48">
        <v>1.6</v>
      </c>
      <c r="F30" s="48">
        <v>0.6</v>
      </c>
      <c r="G30" s="49">
        <v>0</v>
      </c>
      <c r="H30" s="50"/>
      <c r="I30" s="51">
        <f>I29-K4*T29</f>
        <v>0.33228957995039438</v>
      </c>
      <c r="J30" s="52">
        <f>J29-K4*U29</f>
        <v>-0.56159584101202864</v>
      </c>
      <c r="K30" s="52">
        <f>K29-K4*V29</f>
        <v>-9.4385575947901562E-2</v>
      </c>
      <c r="L30" s="52">
        <f>L29-K4*W29</f>
        <v>0.75669405076998475</v>
      </c>
      <c r="M30" s="52">
        <f>M29-K4*X29</f>
        <v>0.65253940000450161</v>
      </c>
      <c r="N30" s="53">
        <f t="shared" si="0"/>
        <v>-1.2038050196927275</v>
      </c>
      <c r="O30" s="53">
        <f t="shared" si="1"/>
        <v>0.23079901636907513</v>
      </c>
      <c r="P30" s="54">
        <f t="shared" si="2"/>
        <v>0</v>
      </c>
      <c r="Q30" s="54">
        <f t="shared" si="3"/>
        <v>0.23079901636907513</v>
      </c>
      <c r="R30" s="55">
        <f t="shared" si="4"/>
        <v>5.3268185956932605E-2</v>
      </c>
      <c r="T30" s="31">
        <f t="shared" si="5"/>
        <v>8.1947882068615155E-2</v>
      </c>
      <c r="U30" s="31">
        <f t="shared" si="6"/>
        <v>0.40973941034307576</v>
      </c>
      <c r="V30" s="31">
        <f t="shared" si="7"/>
        <v>0.28681758724015305</v>
      </c>
      <c r="W30" s="31">
        <f t="shared" si="8"/>
        <v>0.13111661130978425</v>
      </c>
      <c r="X30" s="31">
        <f t="shared" si="9"/>
        <v>4.9168729241169093E-2</v>
      </c>
    </row>
    <row r="31" spans="1:24" ht="14.25" customHeight="1" x14ac:dyDescent="0.3">
      <c r="A31" s="45"/>
      <c r="B31" s="46">
        <v>5</v>
      </c>
      <c r="C31" s="47">
        <v>5.0999999999999996</v>
      </c>
      <c r="D31" s="48">
        <v>3.8</v>
      </c>
      <c r="E31" s="48">
        <v>1.9</v>
      </c>
      <c r="F31" s="48">
        <v>0.4</v>
      </c>
      <c r="G31" s="49">
        <v>0</v>
      </c>
      <c r="H31" s="50"/>
      <c r="I31" s="51">
        <f>I30-K4*T30</f>
        <v>0.32409479174353284</v>
      </c>
      <c r="J31" s="52">
        <f>J30-K4*U30</f>
        <v>-0.60256978204633627</v>
      </c>
      <c r="K31" s="52">
        <f>K30-K4*V30</f>
        <v>-0.12306733467191687</v>
      </c>
      <c r="L31" s="52">
        <f>L30-K4*W30</f>
        <v>0.74358238963900636</v>
      </c>
      <c r="M31" s="52">
        <f>M30-K4*X30</f>
        <v>0.6476225270803847</v>
      </c>
      <c r="N31" s="53">
        <f t="shared" si="0"/>
        <v>-1.5448114172998</v>
      </c>
      <c r="O31" s="53">
        <f t="shared" si="1"/>
        <v>0.17583692450269459</v>
      </c>
      <c r="P31" s="54">
        <f t="shared" si="2"/>
        <v>0</v>
      </c>
      <c r="Q31" s="54">
        <f t="shared" si="3"/>
        <v>0.17583692450269459</v>
      </c>
      <c r="R31" s="55">
        <f t="shared" si="4"/>
        <v>3.0918624018566317E-2</v>
      </c>
      <c r="T31" s="31">
        <f t="shared" si="5"/>
        <v>5.0963976522572937E-2</v>
      </c>
      <c r="U31" s="31">
        <f t="shared" si="6"/>
        <v>0.25991628026512198</v>
      </c>
      <c r="V31" s="31">
        <f t="shared" si="7"/>
        <v>0.19366311078577716</v>
      </c>
      <c r="W31" s="31">
        <f t="shared" si="8"/>
        <v>9.6831555392888582E-2</v>
      </c>
      <c r="X31" s="31">
        <f t="shared" si="9"/>
        <v>2.0385590609029176E-2</v>
      </c>
    </row>
    <row r="32" spans="1:24" ht="14.25" customHeight="1" x14ac:dyDescent="0.3">
      <c r="A32" s="45"/>
      <c r="B32" s="56">
        <v>6</v>
      </c>
      <c r="C32" s="47">
        <v>4.8</v>
      </c>
      <c r="D32" s="48">
        <v>3</v>
      </c>
      <c r="E32" s="48">
        <v>1.4</v>
      </c>
      <c r="F32" s="48">
        <v>0.3</v>
      </c>
      <c r="G32" s="49">
        <v>0</v>
      </c>
      <c r="H32" s="50"/>
      <c r="I32" s="51">
        <f>I31-K4*T31</f>
        <v>0.31899839409127556</v>
      </c>
      <c r="J32" s="52">
        <f>J31-K4*U31</f>
        <v>-0.62856141007284849</v>
      </c>
      <c r="K32" s="52">
        <f>K31-K4*V31</f>
        <v>-0.14243364575049458</v>
      </c>
      <c r="L32" s="52">
        <f>L31-K4*W31</f>
        <v>0.73389923409971747</v>
      </c>
      <c r="M32" s="52">
        <f>M31-K4*X31</f>
        <v>0.64558396801948181</v>
      </c>
      <c r="N32" s="53">
        <f t="shared" si="0"/>
        <v>-1.9042631933644316</v>
      </c>
      <c r="O32" s="53">
        <f t="shared" si="1"/>
        <v>0.12962672544144377</v>
      </c>
      <c r="P32" s="54">
        <f t="shared" si="2"/>
        <v>0</v>
      </c>
      <c r="Q32" s="54">
        <f t="shared" si="3"/>
        <v>0.12962672544144377</v>
      </c>
      <c r="R32" s="55">
        <f t="shared" si="4"/>
        <v>1.6803087948671445E-2</v>
      </c>
      <c r="T32" s="31">
        <f t="shared" si="5"/>
        <v>2.9249917361161157E-2</v>
      </c>
      <c r="U32" s="31">
        <f t="shared" si="6"/>
        <v>0.14039960333357354</v>
      </c>
      <c r="V32" s="31">
        <f t="shared" si="7"/>
        <v>8.774975208348347E-2</v>
      </c>
      <c r="W32" s="31">
        <f t="shared" si="8"/>
        <v>4.0949884305625614E-2</v>
      </c>
      <c r="X32" s="31">
        <f t="shared" si="9"/>
        <v>8.7749752083483464E-3</v>
      </c>
    </row>
    <row r="33" spans="1:24" ht="14.25" customHeight="1" x14ac:dyDescent="0.3">
      <c r="A33" s="45"/>
      <c r="B33" s="46">
        <v>7</v>
      </c>
      <c r="C33" s="47">
        <v>5.0999999999999996</v>
      </c>
      <c r="D33" s="48">
        <v>3.8</v>
      </c>
      <c r="E33" s="48">
        <v>1.6</v>
      </c>
      <c r="F33" s="48">
        <v>0.2</v>
      </c>
      <c r="G33" s="49">
        <v>0</v>
      </c>
      <c r="H33" s="50"/>
      <c r="I33" s="51">
        <f>I32-K4*T32</f>
        <v>0.31607340235515946</v>
      </c>
      <c r="J33" s="52">
        <f>J32-K4*U32</f>
        <v>-0.6426013704062058</v>
      </c>
      <c r="K33" s="52">
        <f>K32-K4*V32</f>
        <v>-0.15120862095884294</v>
      </c>
      <c r="L33" s="52">
        <f>L32-K4*W32</f>
        <v>0.72980424566915492</v>
      </c>
      <c r="M33" s="52">
        <f>M32-K4*X32</f>
        <v>0.64470647049864693</v>
      </c>
      <c r="N33" s="53">
        <f t="shared" si="0"/>
        <v>-2.2391582591897161</v>
      </c>
      <c r="O33" s="53">
        <f t="shared" si="1"/>
        <v>9.628876278390322E-2</v>
      </c>
      <c r="P33" s="54">
        <f t="shared" si="2"/>
        <v>0</v>
      </c>
      <c r="Q33" s="54">
        <f t="shared" si="3"/>
        <v>9.628876278390322E-2</v>
      </c>
      <c r="R33" s="55">
        <f t="shared" si="4"/>
        <v>9.2715258384547857E-3</v>
      </c>
      <c r="T33" s="31">
        <f t="shared" si="5"/>
        <v>1.6757564172701966E-2</v>
      </c>
      <c r="U33" s="31">
        <f t="shared" si="6"/>
        <v>8.5463577280780023E-2</v>
      </c>
      <c r="V33" s="31">
        <f t="shared" si="7"/>
        <v>6.367874385626747E-2</v>
      </c>
      <c r="W33" s="31">
        <f t="shared" si="8"/>
        <v>2.6812102676323148E-2</v>
      </c>
      <c r="X33" s="31">
        <f t="shared" si="9"/>
        <v>3.3515128345403935E-3</v>
      </c>
    </row>
    <row r="34" spans="1:24" ht="14.25" customHeight="1" x14ac:dyDescent="0.3">
      <c r="A34" s="45"/>
      <c r="B34" s="56">
        <v>8</v>
      </c>
      <c r="C34" s="47">
        <v>4.5999999999999996</v>
      </c>
      <c r="D34" s="48">
        <v>3.2</v>
      </c>
      <c r="E34" s="48">
        <v>1.4</v>
      </c>
      <c r="F34" s="48">
        <v>0.2</v>
      </c>
      <c r="G34" s="49">
        <v>0</v>
      </c>
      <c r="H34" s="50"/>
      <c r="I34" s="51">
        <f>I33-K4*T33</f>
        <v>0.31439764593788927</v>
      </c>
      <c r="J34" s="52">
        <f>J33-K4*U33</f>
        <v>-0.65114772813428379</v>
      </c>
      <c r="K34" s="52">
        <f>K33-K4*V33</f>
        <v>-0.15757649534446969</v>
      </c>
      <c r="L34" s="52">
        <f>L33-K4*W33</f>
        <v>0.72712303540152257</v>
      </c>
      <c r="M34" s="52">
        <f>M33-K4*X33</f>
        <v>0.64437131921519286</v>
      </c>
      <c r="N34" s="53">
        <f t="shared" si="0"/>
        <v>-2.0382801751769488</v>
      </c>
      <c r="O34" s="53">
        <f t="shared" si="1"/>
        <v>0.11524197154865197</v>
      </c>
      <c r="P34" s="54">
        <f t="shared" si="2"/>
        <v>0</v>
      </c>
      <c r="Q34" s="54">
        <f t="shared" si="3"/>
        <v>0.11524197154865197</v>
      </c>
      <c r="R34" s="55">
        <f t="shared" si="4"/>
        <v>1.3280712006420311E-2</v>
      </c>
      <c r="T34" s="31">
        <f t="shared" si="5"/>
        <v>2.3500433142461162E-2</v>
      </c>
      <c r="U34" s="31">
        <f t="shared" si="6"/>
        <v>0.10810199245532133</v>
      </c>
      <c r="V34" s="31">
        <f t="shared" si="7"/>
        <v>7.520138605587573E-2</v>
      </c>
      <c r="W34" s="31">
        <f t="shared" si="8"/>
        <v>3.2900606399445621E-2</v>
      </c>
      <c r="X34" s="31">
        <f t="shared" si="9"/>
        <v>4.7000866284922331E-3</v>
      </c>
    </row>
    <row r="35" spans="1:24" ht="14.25" customHeight="1" x14ac:dyDescent="0.3">
      <c r="A35" s="45"/>
      <c r="B35" s="46">
        <v>9</v>
      </c>
      <c r="C35" s="47">
        <v>5.3</v>
      </c>
      <c r="D35" s="48">
        <v>3.7</v>
      </c>
      <c r="E35" s="48">
        <v>1.5</v>
      </c>
      <c r="F35" s="48">
        <v>0.2</v>
      </c>
      <c r="G35" s="49">
        <v>0</v>
      </c>
      <c r="H35" s="50"/>
      <c r="I35" s="51">
        <f>I34-K4*T34</f>
        <v>0.31204760262364317</v>
      </c>
      <c r="J35" s="52">
        <f>J34-K4*U34</f>
        <v>-0.66195792737981596</v>
      </c>
      <c r="K35" s="52">
        <f>K34-K4*V34</f>
        <v>-0.16509663395005725</v>
      </c>
      <c r="L35" s="52">
        <f>L34-K4*W34</f>
        <v>0.72383297476157804</v>
      </c>
      <c r="M35" s="52">
        <f>M34-K4*X34</f>
        <v>0.64390131055234368</v>
      </c>
      <c r="N35" s="53">
        <f t="shared" si="0"/>
        <v>-2.5926572338517571</v>
      </c>
      <c r="O35" s="53">
        <f t="shared" si="1"/>
        <v>6.9612485962810597E-2</v>
      </c>
      <c r="P35" s="54">
        <f t="shared" si="2"/>
        <v>0</v>
      </c>
      <c r="Q35" s="54">
        <f t="shared" si="3"/>
        <v>6.9612485962810597E-2</v>
      </c>
      <c r="R35" s="55">
        <f t="shared" si="4"/>
        <v>4.8458982019225025E-3</v>
      </c>
      <c r="T35" s="31">
        <f t="shared" si="5"/>
        <v>9.0171263627279279E-3</v>
      </c>
      <c r="U35" s="31">
        <f t="shared" si="6"/>
        <v>4.7790769722458014E-2</v>
      </c>
      <c r="V35" s="31">
        <f t="shared" si="7"/>
        <v>3.3363367542093333E-2</v>
      </c>
      <c r="W35" s="31">
        <f t="shared" si="8"/>
        <v>1.3525689544091892E-2</v>
      </c>
      <c r="X35" s="31">
        <f t="shared" si="9"/>
        <v>1.8034252725455857E-3</v>
      </c>
    </row>
    <row r="36" spans="1:24" ht="14.25" customHeight="1" x14ac:dyDescent="0.3">
      <c r="A36" s="45"/>
      <c r="B36" s="56">
        <v>10</v>
      </c>
      <c r="C36" s="47">
        <v>5</v>
      </c>
      <c r="D36" s="48">
        <v>3.3</v>
      </c>
      <c r="E36" s="48">
        <v>1.4</v>
      </c>
      <c r="F36" s="48">
        <v>0.2</v>
      </c>
      <c r="G36" s="49">
        <v>0</v>
      </c>
      <c r="H36" s="50"/>
      <c r="I36" s="51">
        <f>I35-K4*T35</f>
        <v>0.31114588998737036</v>
      </c>
      <c r="J36" s="52">
        <f>J35-K4*U35</f>
        <v>-0.66673700435206174</v>
      </c>
      <c r="K36" s="52">
        <f>K35-K4*V35</f>
        <v>-0.16843297070426658</v>
      </c>
      <c r="L36" s="52">
        <f>L35-K4*W35</f>
        <v>0.72248040580716888</v>
      </c>
      <c r="M36" s="52">
        <f>M35-K4*X35</f>
        <v>0.64372096802508916</v>
      </c>
      <c r="N36" s="53">
        <f t="shared" si="0"/>
        <v>-2.4381511733619639</v>
      </c>
      <c r="O36" s="53">
        <f t="shared" si="1"/>
        <v>8.0309360163543078E-2</v>
      </c>
      <c r="P36" s="54">
        <f t="shared" si="2"/>
        <v>0</v>
      </c>
      <c r="Q36" s="54">
        <f t="shared" si="3"/>
        <v>8.0309360163543078E-2</v>
      </c>
      <c r="R36" s="55">
        <f t="shared" si="4"/>
        <v>6.4495933298776799E-3</v>
      </c>
      <c r="T36" s="31">
        <f t="shared" si="5"/>
        <v>1.1863261232480295E-2</v>
      </c>
      <c r="U36" s="31">
        <f t="shared" si="6"/>
        <v>5.931630616240148E-2</v>
      </c>
      <c r="V36" s="31">
        <f t="shared" si="7"/>
        <v>3.914876206718497E-2</v>
      </c>
      <c r="W36" s="31">
        <f t="shared" si="8"/>
        <v>1.6608565725472414E-2</v>
      </c>
      <c r="X36" s="31">
        <f t="shared" si="9"/>
        <v>2.3726522464960591E-3</v>
      </c>
    </row>
    <row r="37" spans="1:24" ht="14.25" customHeight="1" x14ac:dyDescent="0.3">
      <c r="A37" s="45"/>
      <c r="B37" s="46">
        <v>11</v>
      </c>
      <c r="C37" s="47">
        <v>5.5</v>
      </c>
      <c r="D37" s="48">
        <v>2.6</v>
      </c>
      <c r="E37" s="48">
        <v>4.4000000000000004</v>
      </c>
      <c r="F37" s="48">
        <v>1.2</v>
      </c>
      <c r="G37" s="49">
        <v>1</v>
      </c>
      <c r="H37" s="50"/>
      <c r="I37" s="51">
        <f>I36-K4*T36</f>
        <v>0.30995956386412232</v>
      </c>
      <c r="J37" s="52">
        <f>J36-K4*U36</f>
        <v>-0.67266863496830187</v>
      </c>
      <c r="K37" s="52">
        <f>K36-K4*V36</f>
        <v>-0.17234784691098506</v>
      </c>
      <c r="L37" s="52">
        <f>L36-K4*W36</f>
        <v>0.72081954923462166</v>
      </c>
      <c r="M37" s="52">
        <f>M36-K4*X36</f>
        <v>0.64348370280043954</v>
      </c>
      <c r="N37" s="53">
        <f t="shared" si="0"/>
        <v>0.10596412956276369</v>
      </c>
      <c r="O37" s="53">
        <f t="shared" si="1"/>
        <v>0.52646627253982015</v>
      </c>
      <c r="P37" s="54">
        <f t="shared" si="2"/>
        <v>1</v>
      </c>
      <c r="Q37" s="54">
        <f t="shared" si="3"/>
        <v>-0.47353372746017985</v>
      </c>
      <c r="R37" s="55">
        <f t="shared" si="4"/>
        <v>0.22423419104233189</v>
      </c>
      <c r="T37" s="31">
        <f t="shared" si="5"/>
        <v>-0.23610347746807681</v>
      </c>
      <c r="U37" s="31">
        <f t="shared" si="6"/>
        <v>-1.2985691260744225</v>
      </c>
      <c r="V37" s="31">
        <f t="shared" si="7"/>
        <v>-0.61386904141699972</v>
      </c>
      <c r="W37" s="31">
        <f t="shared" si="8"/>
        <v>-1.038855300859538</v>
      </c>
      <c r="X37" s="31">
        <f t="shared" si="9"/>
        <v>-0.28332417296169216</v>
      </c>
    </row>
    <row r="38" spans="1:24" ht="14.25" customHeight="1" x14ac:dyDescent="0.3">
      <c r="A38" s="45"/>
      <c r="B38" s="56">
        <v>12</v>
      </c>
      <c r="C38" s="47">
        <v>6.1</v>
      </c>
      <c r="D38" s="48">
        <v>3</v>
      </c>
      <c r="E38" s="48">
        <v>4.5999999999999996</v>
      </c>
      <c r="F38" s="48">
        <v>1.4</v>
      </c>
      <c r="G38" s="49">
        <v>1</v>
      </c>
      <c r="H38" s="50"/>
      <c r="I38" s="51">
        <f>I37-K4*T37</f>
        <v>0.33356991161093003</v>
      </c>
      <c r="J38" s="52">
        <f>J37-K4*U37</f>
        <v>-0.54281172236085962</v>
      </c>
      <c r="K38" s="52">
        <f>K37-K4*V37</f>
        <v>-0.11096094276928509</v>
      </c>
      <c r="L38" s="52">
        <f>L37-K4*W37</f>
        <v>0.82470507932057546</v>
      </c>
      <c r="M38" s="52">
        <f>M37-K4*X37</f>
        <v>0.67181612009660874</v>
      </c>
      <c r="N38" s="53">
        <f t="shared" si="0"/>
        <v>1.4237215099117304</v>
      </c>
      <c r="O38" s="53">
        <f t="shared" si="1"/>
        <v>0.80592116888855569</v>
      </c>
      <c r="P38" s="54">
        <f t="shared" si="2"/>
        <v>1</v>
      </c>
      <c r="Q38" s="54">
        <f t="shared" si="3"/>
        <v>-0.19407883111144431</v>
      </c>
      <c r="R38" s="55">
        <f t="shared" si="4"/>
        <v>3.7666592685584525E-2</v>
      </c>
      <c r="T38" s="31">
        <f t="shared" si="5"/>
        <v>-6.0712608810430807E-2</v>
      </c>
      <c r="U38" s="31">
        <f t="shared" si="6"/>
        <v>-0.37034691374362788</v>
      </c>
      <c r="V38" s="31">
        <f t="shared" si="7"/>
        <v>-0.18213782643129242</v>
      </c>
      <c r="W38" s="31">
        <f t="shared" si="8"/>
        <v>-0.27927800052798168</v>
      </c>
      <c r="X38" s="31">
        <f t="shared" si="9"/>
        <v>-8.499765233460313E-2</v>
      </c>
    </row>
    <row r="39" spans="1:24" ht="14.25" customHeight="1" x14ac:dyDescent="0.3">
      <c r="A39" s="45"/>
      <c r="B39" s="46">
        <v>13</v>
      </c>
      <c r="C39" s="47">
        <v>5.8</v>
      </c>
      <c r="D39" s="48">
        <v>2.6</v>
      </c>
      <c r="E39" s="48">
        <v>4</v>
      </c>
      <c r="F39" s="48">
        <v>1.2</v>
      </c>
      <c r="G39" s="49">
        <v>1</v>
      </c>
      <c r="H39" s="50"/>
      <c r="I39" s="51">
        <f>I38-K4*T38</f>
        <v>0.33964117249197312</v>
      </c>
      <c r="J39" s="52">
        <f>J38-K4*U38</f>
        <v>-0.50577703098649684</v>
      </c>
      <c r="K39" s="52">
        <f>K38-K4*V38</f>
        <v>-9.2747160126155845E-2</v>
      </c>
      <c r="L39" s="52">
        <f>L38-K4*W38</f>
        <v>0.85263287937337362</v>
      </c>
      <c r="M39" s="52">
        <f>M38-K4*X38</f>
        <v>0.68031588533006904</v>
      </c>
      <c r="N39" s="53">
        <f t="shared" si="0"/>
        <v>1.391902356331864</v>
      </c>
      <c r="O39" s="53">
        <f t="shared" si="1"/>
        <v>0.80089576984438304</v>
      </c>
      <c r="P39" s="54">
        <f t="shared" si="2"/>
        <v>1</v>
      </c>
      <c r="Q39" s="54">
        <f t="shared" si="3"/>
        <v>-0.19910423015561696</v>
      </c>
      <c r="R39" s="55">
        <f t="shared" si="4"/>
        <v>3.9642494465860892E-2</v>
      </c>
      <c r="T39" s="31">
        <f t="shared" si="5"/>
        <v>-6.3499012247574704E-2</v>
      </c>
      <c r="U39" s="31">
        <f t="shared" si="6"/>
        <v>-0.36829427103593326</v>
      </c>
      <c r="V39" s="31">
        <f t="shared" si="7"/>
        <v>-0.16509743184369424</v>
      </c>
      <c r="W39" s="31">
        <f t="shared" si="8"/>
        <v>-0.25399604899029882</v>
      </c>
      <c r="X39" s="31">
        <f t="shared" si="9"/>
        <v>-7.619881469708964E-2</v>
      </c>
    </row>
    <row r="40" spans="1:24" ht="14.25" customHeight="1" x14ac:dyDescent="0.3">
      <c r="A40" s="45"/>
      <c r="B40" s="56">
        <v>14</v>
      </c>
      <c r="C40" s="47">
        <v>5</v>
      </c>
      <c r="D40" s="48">
        <v>2.2999999999999998</v>
      </c>
      <c r="E40" s="48">
        <v>3.3</v>
      </c>
      <c r="F40" s="48">
        <v>1</v>
      </c>
      <c r="G40" s="49">
        <v>1</v>
      </c>
      <c r="H40" s="50"/>
      <c r="I40" s="51">
        <f>I39-K4*T39</f>
        <v>0.3459910737167306</v>
      </c>
      <c r="J40" s="52">
        <f>J39-K4*U39</f>
        <v>-0.46894760388290352</v>
      </c>
      <c r="K40" s="52">
        <f>K39-K4*V39</f>
        <v>-7.6237416941786415E-2</v>
      </c>
      <c r="L40" s="52">
        <f>L39-K4*W39</f>
        <v>0.87803248427240355</v>
      </c>
      <c r="M40" s="52">
        <f>M39-K4*X39</f>
        <v>0.68793576679977797</v>
      </c>
      <c r="N40" s="53">
        <f t="shared" si="0"/>
        <v>1.4113499602348138</v>
      </c>
      <c r="O40" s="53">
        <f t="shared" si="1"/>
        <v>0.80397878049096949</v>
      </c>
      <c r="P40" s="54">
        <f t="shared" si="2"/>
        <v>1</v>
      </c>
      <c r="Q40" s="54">
        <f t="shared" si="3"/>
        <v>-0.19602121950903051</v>
      </c>
      <c r="R40" s="55">
        <f t="shared" si="4"/>
        <v>3.8424318497807523E-2</v>
      </c>
      <c r="T40" s="31">
        <f t="shared" si="5"/>
        <v>-6.1784673454127789E-2</v>
      </c>
      <c r="U40" s="31">
        <f t="shared" si="6"/>
        <v>-0.30892336727063896</v>
      </c>
      <c r="V40" s="31">
        <f t="shared" si="7"/>
        <v>-0.1421047489444939</v>
      </c>
      <c r="W40" s="31">
        <f t="shared" si="8"/>
        <v>-0.20388942239862171</v>
      </c>
      <c r="X40" s="31">
        <f t="shared" si="9"/>
        <v>-6.1784673454127789E-2</v>
      </c>
    </row>
    <row r="41" spans="1:24" ht="14.25" customHeight="1" x14ac:dyDescent="0.3">
      <c r="A41" s="45"/>
      <c r="B41" s="46">
        <v>15</v>
      </c>
      <c r="C41" s="47">
        <v>5.6</v>
      </c>
      <c r="D41" s="48">
        <v>2.7</v>
      </c>
      <c r="E41" s="48">
        <v>4.2</v>
      </c>
      <c r="F41" s="48">
        <v>1.3</v>
      </c>
      <c r="G41" s="49">
        <v>1</v>
      </c>
      <c r="H41" s="50"/>
      <c r="I41" s="51">
        <f>I40-K4*T40</f>
        <v>0.35216954106214338</v>
      </c>
      <c r="J41" s="52">
        <f>J40-K4*U40</f>
        <v>-0.43805526715583964</v>
      </c>
      <c r="K41" s="52">
        <f>K40-K4*V40</f>
        <v>-6.2026942047337025E-2</v>
      </c>
      <c r="L41" s="52">
        <f>L40-K4*W40</f>
        <v>0.89842142651226575</v>
      </c>
      <c r="M41" s="52">
        <f>M40-K4*X40</f>
        <v>0.6941142341451908</v>
      </c>
      <c r="N41" s="53">
        <f t="shared" si="0"/>
        <v>2.4073057972018956</v>
      </c>
      <c r="O41" s="53">
        <f t="shared" si="1"/>
        <v>0.9173827132297292</v>
      </c>
      <c r="P41" s="54">
        <f t="shared" si="2"/>
        <v>1</v>
      </c>
      <c r="Q41" s="54">
        <f t="shared" si="3"/>
        <v>-8.2617286770270804E-2</v>
      </c>
      <c r="R41" s="55">
        <f t="shared" si="4"/>
        <v>6.8256160732811629E-3</v>
      </c>
      <c r="T41" s="31">
        <f t="shared" si="5"/>
        <v>-1.2523404385542246E-2</v>
      </c>
      <c r="U41" s="31">
        <f t="shared" si="6"/>
        <v>-7.0131064559036574E-2</v>
      </c>
      <c r="V41" s="31">
        <f t="shared" si="7"/>
        <v>-3.3813191840964069E-2</v>
      </c>
      <c r="W41" s="31">
        <f t="shared" si="8"/>
        <v>-5.2598298419277434E-2</v>
      </c>
      <c r="X41" s="31">
        <f t="shared" si="9"/>
        <v>-1.6280425701204922E-2</v>
      </c>
    </row>
    <row r="42" spans="1:24" ht="14.25" customHeight="1" x14ac:dyDescent="0.3">
      <c r="A42" s="45"/>
      <c r="B42" s="56">
        <v>16</v>
      </c>
      <c r="C42" s="47">
        <v>5.7</v>
      </c>
      <c r="D42" s="48">
        <v>3</v>
      </c>
      <c r="E42" s="48">
        <v>4.2</v>
      </c>
      <c r="F42" s="48">
        <v>1.2</v>
      </c>
      <c r="G42" s="49">
        <v>1</v>
      </c>
      <c r="H42" s="50"/>
      <c r="I42" s="51">
        <f>I41-K4*T41</f>
        <v>0.35342188150069759</v>
      </c>
      <c r="J42" s="52">
        <f>J41-K4*U41</f>
        <v>-0.43104216069993601</v>
      </c>
      <c r="K42" s="52">
        <f>K41-K4*V41</f>
        <v>-5.8645622863240619E-2</v>
      </c>
      <c r="L42" s="52">
        <f>L41-K4*W41</f>
        <v>0.9036812563541935</v>
      </c>
      <c r="M42" s="52">
        <f>M41-K4*X41</f>
        <v>0.6957422767153113</v>
      </c>
      <c r="N42" s="53">
        <f t="shared" si="0"/>
        <v>2.3508967056673269</v>
      </c>
      <c r="O42" s="53">
        <f t="shared" si="1"/>
        <v>0.91300547611324701</v>
      </c>
      <c r="P42" s="54">
        <f t="shared" si="2"/>
        <v>1</v>
      </c>
      <c r="Q42" s="54">
        <f t="shared" si="3"/>
        <v>-8.6994523886752995E-2</v>
      </c>
      <c r="R42" s="55">
        <f t="shared" si="4"/>
        <v>7.5680471862828377E-3</v>
      </c>
      <c r="T42" s="31">
        <f t="shared" si="5"/>
        <v>-1.3819337049119364E-2</v>
      </c>
      <c r="U42" s="31">
        <f t="shared" si="6"/>
        <v>-7.8770221179980379E-2</v>
      </c>
      <c r="V42" s="31">
        <f t="shared" si="7"/>
        <v>-4.1458011147358094E-2</v>
      </c>
      <c r="W42" s="31">
        <f t="shared" si="8"/>
        <v>-5.8041215606301329E-2</v>
      </c>
      <c r="X42" s="31">
        <f t="shared" si="9"/>
        <v>-1.6583204458943235E-2</v>
      </c>
    </row>
    <row r="43" spans="1:24" ht="14.25" customHeight="1" x14ac:dyDescent="0.3">
      <c r="A43" s="45"/>
      <c r="B43" s="46">
        <v>17</v>
      </c>
      <c r="C43" s="47">
        <v>5.7</v>
      </c>
      <c r="D43" s="48">
        <v>2.9</v>
      </c>
      <c r="E43" s="48">
        <v>4.2</v>
      </c>
      <c r="F43" s="48">
        <v>1.3</v>
      </c>
      <c r="G43" s="49">
        <v>1</v>
      </c>
      <c r="H43" s="50"/>
      <c r="I43" s="51">
        <f>I42-K4*T42</f>
        <v>0.35480381520560955</v>
      </c>
      <c r="J43" s="52">
        <f>J42-K4*U42</f>
        <v>-0.42316513858193799</v>
      </c>
      <c r="K43" s="52">
        <f>K42-K4*V42</f>
        <v>-5.4499821748504811E-2</v>
      </c>
      <c r="L43" s="52">
        <f>L42-K4*W42</f>
        <v>0.90948537791482365</v>
      </c>
      <c r="M43" s="52">
        <f>M42-K4*X42</f>
        <v>0.69740059716120562</v>
      </c>
      <c r="N43" s="53">
        <f t="shared" si="0"/>
        <v>2.5111724057697256</v>
      </c>
      <c r="O43" s="53">
        <f t="shared" si="1"/>
        <v>0.92492134511376067</v>
      </c>
      <c r="P43" s="54">
        <f t="shared" si="2"/>
        <v>1</v>
      </c>
      <c r="Q43" s="54">
        <f t="shared" si="3"/>
        <v>-7.5078654886239327E-2</v>
      </c>
      <c r="R43" s="55">
        <f t="shared" si="4"/>
        <v>5.6368044195270282E-3</v>
      </c>
      <c r="T43" s="31">
        <f t="shared" si="5"/>
        <v>-1.042720145170426E-2</v>
      </c>
      <c r="U43" s="31">
        <f t="shared" si="6"/>
        <v>-5.9435048274714283E-2</v>
      </c>
      <c r="V43" s="31">
        <f t="shared" si="7"/>
        <v>-3.0238884209942352E-2</v>
      </c>
      <c r="W43" s="31">
        <f t="shared" si="8"/>
        <v>-4.3794246097157895E-2</v>
      </c>
      <c r="X43" s="31">
        <f t="shared" si="9"/>
        <v>-1.3555361887215537E-2</v>
      </c>
    </row>
    <row r="44" spans="1:24" ht="14.25" customHeight="1" x14ac:dyDescent="0.3">
      <c r="A44" s="45"/>
      <c r="B44" s="56">
        <v>18</v>
      </c>
      <c r="C44" s="47">
        <v>6.2</v>
      </c>
      <c r="D44" s="48">
        <v>2.9</v>
      </c>
      <c r="E44" s="48">
        <v>4.3</v>
      </c>
      <c r="F44" s="48">
        <v>1.3</v>
      </c>
      <c r="G44" s="49">
        <v>1</v>
      </c>
      <c r="H44" s="50"/>
      <c r="I44" s="51">
        <f>I43-K4*T43</f>
        <v>0.35584653535077998</v>
      </c>
      <c r="J44" s="52">
        <f>J43-K4*U43</f>
        <v>-0.41722163375446658</v>
      </c>
      <c r="K44" s="52">
        <f>K43-K4*V43</f>
        <v>-5.1475933327510576E-2</v>
      </c>
      <c r="L44" s="52">
        <f>L43-K4*W43</f>
        <v>0.91386480252453939</v>
      </c>
      <c r="M44" s="52">
        <f>M43-K4*X43</f>
        <v>0.69875613334992714</v>
      </c>
      <c r="N44" s="53">
        <f t="shared" si="0"/>
        <v>2.4577938236337316</v>
      </c>
      <c r="O44" s="53">
        <f t="shared" si="1"/>
        <v>0.92112953314027957</v>
      </c>
      <c r="P44" s="54">
        <f t="shared" si="2"/>
        <v>1</v>
      </c>
      <c r="Q44" s="54">
        <f t="shared" si="3"/>
        <v>-7.8870466859720434E-2</v>
      </c>
      <c r="R44" s="55">
        <f t="shared" si="4"/>
        <v>6.2205505426702595E-3</v>
      </c>
      <c r="T44" s="31">
        <f t="shared" si="5"/>
        <v>-1.1459865634490737E-2</v>
      </c>
      <c r="U44" s="31">
        <f t="shared" si="6"/>
        <v>-7.1051166933842572E-2</v>
      </c>
      <c r="V44" s="31">
        <f t="shared" si="7"/>
        <v>-3.3233610340023138E-2</v>
      </c>
      <c r="W44" s="31">
        <f t="shared" si="8"/>
        <v>-4.9277422228310171E-2</v>
      </c>
      <c r="X44" s="31">
        <f t="shared" si="9"/>
        <v>-1.4897825324837959E-2</v>
      </c>
    </row>
    <row r="45" spans="1:24" ht="14.25" customHeight="1" x14ac:dyDescent="0.3">
      <c r="A45" s="45"/>
      <c r="B45" s="46">
        <v>19</v>
      </c>
      <c r="C45" s="47">
        <v>5.0999999999999996</v>
      </c>
      <c r="D45" s="48">
        <v>2.5</v>
      </c>
      <c r="E45" s="48">
        <v>3</v>
      </c>
      <c r="F45" s="48">
        <v>1.1000000000000001</v>
      </c>
      <c r="G45" s="49">
        <v>1</v>
      </c>
      <c r="H45" s="50"/>
      <c r="I45" s="51">
        <f>I44-K4*T44</f>
        <v>0.35699252191422903</v>
      </c>
      <c r="J45" s="52">
        <f>J44-K4*U44</f>
        <v>-0.41011651706108232</v>
      </c>
      <c r="K45" s="52">
        <f>K44-K4*V44</f>
        <v>-4.8152572293508264E-2</v>
      </c>
      <c r="L45" s="52">
        <f>L44-K4*W44</f>
        <v>0.91879254474737038</v>
      </c>
      <c r="M45" s="52">
        <f>M44-K4*X44</f>
        <v>0.70024591588241092</v>
      </c>
      <c r="N45" s="53">
        <f t="shared" si="0"/>
        <v>1.6716649958817018</v>
      </c>
      <c r="O45" s="53">
        <f t="shared" si="1"/>
        <v>0.8417976820981804</v>
      </c>
      <c r="P45" s="54">
        <f t="shared" si="2"/>
        <v>1</v>
      </c>
      <c r="Q45" s="54">
        <f t="shared" si="3"/>
        <v>-0.1582023179018196</v>
      </c>
      <c r="R45" s="55">
        <f t="shared" si="4"/>
        <v>2.5027973389508389E-2</v>
      </c>
      <c r="T45" s="31">
        <f t="shared" si="5"/>
        <v>-4.21369799738062E-2</v>
      </c>
      <c r="U45" s="31">
        <f t="shared" si="6"/>
        <v>-0.21489859786641161</v>
      </c>
      <c r="V45" s="31">
        <f t="shared" si="7"/>
        <v>-0.1053424499345155</v>
      </c>
      <c r="W45" s="31">
        <f t="shared" si="8"/>
        <v>-0.12641093992141861</v>
      </c>
      <c r="X45" s="31">
        <f t="shared" si="9"/>
        <v>-4.6350677971186825E-2</v>
      </c>
    </row>
    <row r="46" spans="1:24" ht="14.25" customHeight="1" thickBot="1" x14ac:dyDescent="0.35">
      <c r="A46" s="45"/>
      <c r="B46" s="56">
        <v>20</v>
      </c>
      <c r="C46" s="47">
        <v>5.7</v>
      </c>
      <c r="D46" s="48">
        <v>2.8</v>
      </c>
      <c r="E46" s="48">
        <v>4.0999999999999996</v>
      </c>
      <c r="F46" s="48">
        <v>1.3</v>
      </c>
      <c r="G46" s="49">
        <v>1</v>
      </c>
      <c r="H46" s="55">
        <f>SUMPRODUCT(--(P27:P46=G27:G46))/20</f>
        <v>0.95</v>
      </c>
      <c r="I46" s="51">
        <f>I45-K4*T45</f>
        <v>0.36120621991160967</v>
      </c>
      <c r="J46" s="52">
        <f>J45-K4*U45</f>
        <v>-0.38862665727444118</v>
      </c>
      <c r="K46" s="52">
        <f>K45-K4*V45</f>
        <v>-3.7618327300056716E-2</v>
      </c>
      <c r="L46" s="52">
        <f>L45-K4*W45</f>
        <v>0.93143363873951224</v>
      </c>
      <c r="M46" s="52">
        <f>M45-K4*X45</f>
        <v>0.70488098367952956</v>
      </c>
      <c r="N46" s="53">
        <f t="shared" si="0"/>
        <v>2.7759261546225247</v>
      </c>
      <c r="O46" s="53">
        <f t="shared" si="1"/>
        <v>0.94136097010350517</v>
      </c>
      <c r="P46" s="54">
        <f t="shared" si="2"/>
        <v>1</v>
      </c>
      <c r="Q46" s="54">
        <f t="shared" si="3"/>
        <v>-5.8639029896494832E-2</v>
      </c>
      <c r="R46" s="55">
        <f t="shared" si="4"/>
        <v>3.4385358272020147E-3</v>
      </c>
      <c r="S46" s="55">
        <f>AVERAGE(R27:R46)</f>
        <v>6.0245071958491402E-2</v>
      </c>
      <c r="T46" s="31">
        <f t="shared" si="5"/>
        <v>-6.4738068440610948E-3</v>
      </c>
      <c r="U46" s="31">
        <f t="shared" si="6"/>
        <v>-3.6900699011148244E-2</v>
      </c>
      <c r="V46" s="31">
        <f t="shared" si="7"/>
        <v>-1.8126659163371063E-2</v>
      </c>
      <c r="W46" s="31">
        <f t="shared" si="8"/>
        <v>-2.6542608060650487E-2</v>
      </c>
      <c r="X46" s="31">
        <f t="shared" si="9"/>
        <v>-8.4159488972794239E-3</v>
      </c>
    </row>
    <row r="47" spans="1:24" ht="14.25" customHeight="1" thickBot="1" x14ac:dyDescent="0.35">
      <c r="A47" s="42" t="s">
        <v>36</v>
      </c>
      <c r="B47" s="38">
        <v>1</v>
      </c>
      <c r="C47" s="64">
        <v>5</v>
      </c>
      <c r="D47" s="65">
        <v>3.5</v>
      </c>
      <c r="E47" s="65">
        <v>1.3</v>
      </c>
      <c r="F47" s="65">
        <v>0.3</v>
      </c>
      <c r="G47" s="66">
        <v>0</v>
      </c>
      <c r="I47" s="38">
        <f>'SLP-Training'!I244-'SLP-Training'!$K$2*'SLP-Training'!T244</f>
        <v>0.36186666935215983</v>
      </c>
      <c r="J47" s="40">
        <f>'SLP-Training'!J244-'SLP-Training'!$K$2*'SLP-Training'!U244</f>
        <v>-0.33101418002882144</v>
      </c>
      <c r="K47" s="40">
        <f>'SLP-Training'!K244-'SLP-Training'!$K$2*'SLP-Training'!V244</f>
        <v>-3.6129224554286327E-2</v>
      </c>
      <c r="L47" s="40">
        <f>'SLP-Training'!L244-'SLP-Training'!$K$2*'SLP-Training'!W244</f>
        <v>0.99039414777174317</v>
      </c>
      <c r="M47" s="40">
        <f>'SLP-Training'!M244-'SLP-Training'!$K$2*'SLP-Training'!X244</f>
        <v>0.7401889534401197</v>
      </c>
      <c r="N47" s="35">
        <f t="shared" ref="N47:N66" si="10">I47+J47*C47+K47*D47+L47*E47+F47*M47</f>
        <v>8.9912561403352714E-2</v>
      </c>
      <c r="O47" s="35">
        <f t="shared" ref="O47:O66" si="11">1/(1+EXP(-N47))</f>
        <v>0.52246300930586131</v>
      </c>
      <c r="P47" s="36">
        <f t="shared" ref="P47:P66" si="12">IF(O47&gt;0.5,1,0)</f>
        <v>1</v>
      </c>
      <c r="Q47" s="36">
        <f t="shared" ref="Q47:Q66" si="13">O47-G47</f>
        <v>0.52246300930586131</v>
      </c>
      <c r="R47" s="37">
        <f t="shared" ref="R47:R66" si="14">Q47^2</f>
        <v>0.27296759609293653</v>
      </c>
      <c r="T47" s="31">
        <f t="shared" ref="T47:T66" si="15">2*(O47-G47)*(1-O47)*O47</f>
        <v>0.26070424879046805</v>
      </c>
      <c r="U47" s="31">
        <f t="shared" ref="U47:U66" si="16">2*(O47-G47)*(1-O47)*O47*C47</f>
        <v>1.3035212439523403</v>
      </c>
      <c r="V47" s="31">
        <f t="shared" ref="V47:V66" si="17">2*(O47-G47)*(1-O47)*O47*D47</f>
        <v>0.91246487076663818</v>
      </c>
      <c r="W47" s="31">
        <f t="shared" ref="W47:W66" si="18">2*(O47-G47)*(1-O47)*O47*E47</f>
        <v>0.3389155234276085</v>
      </c>
      <c r="X47" s="31">
        <f t="shared" ref="X47:X66" si="19">2*(O47-G47)*(1-O47)*O47*F47</f>
        <v>7.8211274637140407E-2</v>
      </c>
    </row>
    <row r="48" spans="1:24" ht="14.25" customHeight="1" thickBot="1" x14ac:dyDescent="0.35">
      <c r="A48" s="43"/>
      <c r="B48" s="38">
        <v>2</v>
      </c>
      <c r="C48" s="64">
        <v>4.5</v>
      </c>
      <c r="D48" s="65">
        <v>2.2999999999999998</v>
      </c>
      <c r="E48" s="65">
        <v>1.3</v>
      </c>
      <c r="F48" s="65">
        <v>0.3</v>
      </c>
      <c r="G48" s="66">
        <v>0</v>
      </c>
      <c r="I48" s="38">
        <f>I47-K4*T47</f>
        <v>0.33579624447311301</v>
      </c>
      <c r="J48" s="40">
        <f>J47-K4*U47</f>
        <v>-0.46136630442405546</v>
      </c>
      <c r="K48" s="40">
        <f>K47-K4*V47</f>
        <v>-0.12737571163095016</v>
      </c>
      <c r="L48" s="40">
        <f>L47-K4*W47</f>
        <v>0.95650259542898231</v>
      </c>
      <c r="M48" s="40">
        <f>M47-K4*X47</f>
        <v>0.73236782597640571</v>
      </c>
      <c r="N48" s="35">
        <f t="shared" si="10"/>
        <v>-0.57015254033572349</v>
      </c>
      <c r="O48" s="35">
        <f t="shared" si="11"/>
        <v>0.36120162770984943</v>
      </c>
      <c r="P48" s="36">
        <f t="shared" si="12"/>
        <v>0</v>
      </c>
      <c r="Q48" s="36">
        <f t="shared" si="13"/>
        <v>0.36120162770984943</v>
      </c>
      <c r="R48" s="37">
        <f t="shared" si="14"/>
        <v>0.13046661586024466</v>
      </c>
      <c r="T48" s="31">
        <f t="shared" si="15"/>
        <v>0.16668372369945728</v>
      </c>
      <c r="U48" s="31">
        <f t="shared" si="16"/>
        <v>0.75007675664755769</v>
      </c>
      <c r="V48" s="31">
        <f t="shared" si="17"/>
        <v>0.38337256450875168</v>
      </c>
      <c r="W48" s="31">
        <f t="shared" si="18"/>
        <v>0.21668884080929446</v>
      </c>
      <c r="X48" s="31">
        <f t="shared" si="19"/>
        <v>5.0005117109837183E-2</v>
      </c>
    </row>
    <row r="49" spans="1:24" ht="14.25" customHeight="1" thickBot="1" x14ac:dyDescent="0.35">
      <c r="A49" s="43"/>
      <c r="B49" s="38">
        <v>3</v>
      </c>
      <c r="C49" s="64">
        <v>4.4000000000000004</v>
      </c>
      <c r="D49" s="65">
        <v>3.2</v>
      </c>
      <c r="E49" s="65">
        <v>1.3</v>
      </c>
      <c r="F49" s="65">
        <v>0.2</v>
      </c>
      <c r="G49" s="66">
        <v>0</v>
      </c>
      <c r="I49" s="38">
        <f>I48-K4*T48</f>
        <v>0.31912787210316729</v>
      </c>
      <c r="J49" s="40">
        <f>J48-K4*U48</f>
        <v>-0.53637398008881121</v>
      </c>
      <c r="K49" s="40">
        <f>K48-K4*V48</f>
        <v>-0.16571296808182534</v>
      </c>
      <c r="L49" s="40">
        <f>L48-K4*W48</f>
        <v>0.93483371134805282</v>
      </c>
      <c r="M49" s="40">
        <f>M48-K4*X48</f>
        <v>0.727367314265422</v>
      </c>
      <c r="N49" s="35">
        <f t="shared" si="10"/>
        <v>-1.2104418505438899</v>
      </c>
      <c r="O49" s="35">
        <f t="shared" si="11"/>
        <v>0.22962287992796823</v>
      </c>
      <c r="P49" s="36">
        <f t="shared" si="12"/>
        <v>0</v>
      </c>
      <c r="Q49" s="36">
        <f t="shared" si="13"/>
        <v>0.22962287992796823</v>
      </c>
      <c r="R49" s="37">
        <f t="shared" si="14"/>
        <v>5.2726666986414115E-2</v>
      </c>
      <c r="T49" s="31">
        <f t="shared" si="15"/>
        <v>8.1238835727981559E-2</v>
      </c>
      <c r="U49" s="31">
        <f t="shared" si="16"/>
        <v>0.35745087720311891</v>
      </c>
      <c r="V49" s="31">
        <f t="shared" si="17"/>
        <v>0.259964274329541</v>
      </c>
      <c r="W49" s="31">
        <f t="shared" si="18"/>
        <v>0.10561048644637604</v>
      </c>
      <c r="X49" s="31">
        <f t="shared" si="19"/>
        <v>1.6247767145596313E-2</v>
      </c>
    </row>
    <row r="50" spans="1:24" ht="14.25" customHeight="1" thickBot="1" x14ac:dyDescent="0.35">
      <c r="A50" s="43"/>
      <c r="B50" s="38">
        <v>4</v>
      </c>
      <c r="C50" s="64">
        <v>5</v>
      </c>
      <c r="D50" s="65">
        <v>3.5</v>
      </c>
      <c r="E50" s="65">
        <v>1.6</v>
      </c>
      <c r="F50" s="65">
        <v>0.6</v>
      </c>
      <c r="G50" s="66">
        <v>0</v>
      </c>
      <c r="I50" s="38">
        <f>I49-K4*T49</f>
        <v>0.31100398853036915</v>
      </c>
      <c r="J50" s="40">
        <f>J49-K4*U49</f>
        <v>-0.57211906780912314</v>
      </c>
      <c r="K50" s="40">
        <f>K49-K4*V49</f>
        <v>-0.19170939551477945</v>
      </c>
      <c r="L50" s="40">
        <f>L49-K4*W49</f>
        <v>0.92427266270341524</v>
      </c>
      <c r="M50" s="40">
        <f>M49-K4*X49</f>
        <v>0.72574253755086238</v>
      </c>
      <c r="N50" s="35">
        <f t="shared" si="10"/>
        <v>-1.3062924519609929</v>
      </c>
      <c r="O50" s="35">
        <f t="shared" si="11"/>
        <v>0.2131079123958188</v>
      </c>
      <c r="P50" s="36">
        <f t="shared" si="12"/>
        <v>0</v>
      </c>
      <c r="Q50" s="36">
        <f t="shared" si="13"/>
        <v>0.2131079123958188</v>
      </c>
      <c r="R50" s="37">
        <f t="shared" si="14"/>
        <v>4.5414982325703984E-2</v>
      </c>
      <c r="T50" s="31">
        <f t="shared" si="15"/>
        <v>7.1473380501560393E-2</v>
      </c>
      <c r="U50" s="31">
        <f t="shared" si="16"/>
        <v>0.35736690250780195</v>
      </c>
      <c r="V50" s="31">
        <f t="shared" si="17"/>
        <v>0.25015683175546138</v>
      </c>
      <c r="W50" s="31">
        <f t="shared" si="18"/>
        <v>0.11435740880249663</v>
      </c>
      <c r="X50" s="31">
        <f t="shared" si="19"/>
        <v>4.2884028300936232E-2</v>
      </c>
    </row>
    <row r="51" spans="1:24" ht="14.25" customHeight="1" thickBot="1" x14ac:dyDescent="0.35">
      <c r="A51" s="43"/>
      <c r="B51" s="38">
        <v>5</v>
      </c>
      <c r="C51" s="64">
        <v>5.0999999999999996</v>
      </c>
      <c r="D51" s="65">
        <v>3.8</v>
      </c>
      <c r="E51" s="65">
        <v>1.9</v>
      </c>
      <c r="F51" s="65">
        <v>0.4</v>
      </c>
      <c r="G51" s="66">
        <v>0</v>
      </c>
      <c r="I51" s="38">
        <f>I50-K4*T50</f>
        <v>0.3038566504802131</v>
      </c>
      <c r="J51" s="40">
        <f>J50-K4*U50</f>
        <v>-0.60785575805990333</v>
      </c>
      <c r="K51" s="40">
        <f>K50-K4*V50</f>
        <v>-0.21672507869032559</v>
      </c>
      <c r="L51" s="40">
        <f>L50-K4*W50</f>
        <v>0.91283692182316556</v>
      </c>
      <c r="M51" s="40">
        <f>M50-K4*X50</f>
        <v>0.7214541347207688</v>
      </c>
      <c r="N51" s="35">
        <f t="shared" si="10"/>
        <v>-1.5967912092962091</v>
      </c>
      <c r="O51" s="35">
        <f t="shared" si="11"/>
        <v>0.16843056553909375</v>
      </c>
      <c r="P51" s="36">
        <f t="shared" si="12"/>
        <v>0</v>
      </c>
      <c r="Q51" s="36">
        <f t="shared" si="13"/>
        <v>0.16843056553909375</v>
      </c>
      <c r="R51" s="37">
        <f t="shared" si="14"/>
        <v>2.8368855407818954E-2</v>
      </c>
      <c r="T51" s="31">
        <f t="shared" si="15"/>
        <v>4.7181346095566463E-2</v>
      </c>
      <c r="U51" s="31">
        <f t="shared" si="16"/>
        <v>0.24062486508738895</v>
      </c>
      <c r="V51" s="31">
        <f t="shared" si="17"/>
        <v>0.17928911516315255</v>
      </c>
      <c r="W51" s="31">
        <f t="shared" si="18"/>
        <v>8.9644557581576273E-2</v>
      </c>
      <c r="X51" s="31">
        <f t="shared" si="19"/>
        <v>1.8872538438226588E-2</v>
      </c>
    </row>
    <row r="52" spans="1:24" ht="14.25" customHeight="1" thickBot="1" x14ac:dyDescent="0.35">
      <c r="A52" s="43"/>
      <c r="B52" s="38">
        <v>6</v>
      </c>
      <c r="C52" s="64">
        <v>4.8</v>
      </c>
      <c r="D52" s="65">
        <v>3</v>
      </c>
      <c r="E52" s="65">
        <v>1.4</v>
      </c>
      <c r="F52" s="65">
        <v>0.3</v>
      </c>
      <c r="G52" s="66">
        <v>0</v>
      </c>
      <c r="I52" s="38">
        <f>I51-K4*T51</f>
        <v>0.29913851587065643</v>
      </c>
      <c r="J52" s="40">
        <f>J51-K4*U51</f>
        <v>-0.63191824456864221</v>
      </c>
      <c r="K52" s="40">
        <f>K51-K4*V51</f>
        <v>-0.23465399020664085</v>
      </c>
      <c r="L52" s="40">
        <f>L51-K4*W51</f>
        <v>0.90387246606500793</v>
      </c>
      <c r="M52" s="40">
        <f>M51-K4*X51</f>
        <v>0.71956688087694609</v>
      </c>
      <c r="N52" s="35">
        <f t="shared" si="10"/>
        <v>-1.9567395119246542</v>
      </c>
      <c r="O52" s="35">
        <f t="shared" si="11"/>
        <v>0.1238203405748578</v>
      </c>
      <c r="P52" s="36">
        <f t="shared" si="12"/>
        <v>0</v>
      </c>
      <c r="Q52" s="36">
        <f t="shared" si="13"/>
        <v>0.1238203405748578</v>
      </c>
      <c r="R52" s="37">
        <f t="shared" si="14"/>
        <v>1.5331476740073777E-2</v>
      </c>
      <c r="T52" s="31">
        <f t="shared" si="15"/>
        <v>2.6866256137204662E-2</v>
      </c>
      <c r="U52" s="31">
        <f t="shared" si="16"/>
        <v>0.12895802945858237</v>
      </c>
      <c r="V52" s="31">
        <f t="shared" si="17"/>
        <v>8.059876841161398E-2</v>
      </c>
      <c r="W52" s="31">
        <f t="shared" si="18"/>
        <v>3.7612758592086522E-2</v>
      </c>
      <c r="X52" s="31">
        <f t="shared" si="19"/>
        <v>8.059876841161398E-3</v>
      </c>
    </row>
    <row r="53" spans="1:24" ht="14.25" customHeight="1" thickBot="1" x14ac:dyDescent="0.35">
      <c r="A53" s="43"/>
      <c r="B53" s="38">
        <v>7</v>
      </c>
      <c r="C53" s="64">
        <v>5.0999999999999996</v>
      </c>
      <c r="D53" s="65">
        <v>3.8</v>
      </c>
      <c r="E53" s="65">
        <v>1.6</v>
      </c>
      <c r="F53" s="65">
        <v>0.2</v>
      </c>
      <c r="G53" s="66">
        <v>0</v>
      </c>
      <c r="I53" s="38">
        <f>I52-K4*T52</f>
        <v>0.29645189025693597</v>
      </c>
      <c r="J53" s="40">
        <f>J52-K4*U52</f>
        <v>-0.64481404751450044</v>
      </c>
      <c r="K53" s="40">
        <f>K52-K4*V52</f>
        <v>-0.24271386704780223</v>
      </c>
      <c r="L53" s="40">
        <f>L52-K4*W52</f>
        <v>0.90011119020579933</v>
      </c>
      <c r="M53" s="40">
        <f>M52-K4*X52</f>
        <v>0.71876089319282999</v>
      </c>
      <c r="N53" s="35">
        <f t="shared" si="10"/>
        <v>-2.3304823638808201</v>
      </c>
      <c r="O53" s="35">
        <f t="shared" si="11"/>
        <v>8.8629692835576368E-2</v>
      </c>
      <c r="P53" s="36">
        <f t="shared" si="12"/>
        <v>0</v>
      </c>
      <c r="Q53" s="36">
        <f t="shared" si="13"/>
        <v>8.8629692835576368E-2</v>
      </c>
      <c r="R53" s="37">
        <f t="shared" si="14"/>
        <v>7.8552224521286178E-3</v>
      </c>
      <c r="T53" s="31">
        <f t="shared" si="15"/>
        <v>1.4318032998082672E-2</v>
      </c>
      <c r="U53" s="31">
        <f t="shared" si="16"/>
        <v>7.3021968290221617E-2</v>
      </c>
      <c r="V53" s="31">
        <f t="shared" si="17"/>
        <v>5.4408525392714152E-2</v>
      </c>
      <c r="W53" s="31">
        <f t="shared" si="18"/>
        <v>2.2908852796932277E-2</v>
      </c>
      <c r="X53" s="31">
        <f t="shared" si="19"/>
        <v>2.8636065996165347E-3</v>
      </c>
    </row>
    <row r="54" spans="1:24" ht="14.25" customHeight="1" thickBot="1" x14ac:dyDescent="0.35">
      <c r="A54" s="43"/>
      <c r="B54" s="38">
        <v>8</v>
      </c>
      <c r="C54" s="64">
        <v>4.5999999999999996</v>
      </c>
      <c r="D54" s="65">
        <v>3.2</v>
      </c>
      <c r="E54" s="65">
        <v>1.4</v>
      </c>
      <c r="F54" s="65">
        <v>0.2</v>
      </c>
      <c r="G54" s="66">
        <v>0</v>
      </c>
      <c r="I54" s="38">
        <f>I53-K4*T53</f>
        <v>0.29502008695712773</v>
      </c>
      <c r="J54" s="40">
        <f>J53-K4*U53</f>
        <v>-0.65211624434352256</v>
      </c>
      <c r="K54" s="40">
        <f>K53-K4*V53</f>
        <v>-0.24815471958707364</v>
      </c>
      <c r="L54" s="40">
        <f>L53-K4*W53</f>
        <v>0.89782030492610609</v>
      </c>
      <c r="M54" s="40">
        <f>M53-K4*X53</f>
        <v>0.7184745325328683</v>
      </c>
      <c r="N54" s="35">
        <f t="shared" si="10"/>
        <v>-2.0981664062985894</v>
      </c>
      <c r="O54" s="35">
        <f t="shared" si="11"/>
        <v>0.10927516457315141</v>
      </c>
      <c r="P54" s="36">
        <f t="shared" si="12"/>
        <v>0</v>
      </c>
      <c r="Q54" s="36">
        <f t="shared" si="13"/>
        <v>0.10927516457315141</v>
      </c>
      <c r="R54" s="37">
        <f t="shared" si="14"/>
        <v>1.1941061592489324E-2</v>
      </c>
      <c r="T54" s="31">
        <f t="shared" si="15"/>
        <v>2.1272400243583834E-2</v>
      </c>
      <c r="U54" s="31">
        <f t="shared" si="16"/>
        <v>9.7853041120485623E-2</v>
      </c>
      <c r="V54" s="31">
        <f t="shared" si="17"/>
        <v>6.8071680779468277E-2</v>
      </c>
      <c r="W54" s="31">
        <f t="shared" si="18"/>
        <v>2.9781360341017367E-2</v>
      </c>
      <c r="X54" s="31">
        <f t="shared" si="19"/>
        <v>4.2544800487167673E-3</v>
      </c>
    </row>
    <row r="55" spans="1:24" ht="14.25" customHeight="1" thickBot="1" x14ac:dyDescent="0.35">
      <c r="A55" s="43"/>
      <c r="B55" s="38">
        <v>9</v>
      </c>
      <c r="C55" s="64">
        <v>5.3</v>
      </c>
      <c r="D55" s="65">
        <v>3.7</v>
      </c>
      <c r="E55" s="65">
        <v>1.5</v>
      </c>
      <c r="F55" s="65">
        <v>0.2</v>
      </c>
      <c r="G55" s="66">
        <v>0</v>
      </c>
      <c r="I55" s="38">
        <f>I54-K4*T54</f>
        <v>0.29289284693276935</v>
      </c>
      <c r="J55" s="40">
        <f>J54-K4*U54</f>
        <v>-0.66190154845557114</v>
      </c>
      <c r="K55" s="40">
        <f>K54-K4*V54</f>
        <v>-0.25496188766502048</v>
      </c>
      <c r="L55" s="40">
        <f>L54-K4*W54</f>
        <v>0.89484216889200441</v>
      </c>
      <c r="M55" s="40">
        <f>M54-K4*X54</f>
        <v>0.71804908452799665</v>
      </c>
      <c r="N55" s="35">
        <f t="shared" si="10"/>
        <v>-2.6726712739987275</v>
      </c>
      <c r="O55" s="35">
        <f t="shared" si="11"/>
        <v>6.4605351637787481E-2</v>
      </c>
      <c r="P55" s="36">
        <f t="shared" si="12"/>
        <v>0</v>
      </c>
      <c r="Q55" s="36">
        <f t="shared" si="13"/>
        <v>6.4605351637787481E-2</v>
      </c>
      <c r="R55" s="37">
        <f t="shared" si="14"/>
        <v>4.1738514602421692E-3</v>
      </c>
      <c r="T55" s="31">
        <f t="shared" si="15"/>
        <v>7.8083966379386624E-3</v>
      </c>
      <c r="U55" s="31">
        <f t="shared" si="16"/>
        <v>4.1384502181074909E-2</v>
      </c>
      <c r="V55" s="31">
        <f t="shared" si="17"/>
        <v>2.8891067560373053E-2</v>
      </c>
      <c r="W55" s="31">
        <f t="shared" si="18"/>
        <v>1.1712594956907994E-2</v>
      </c>
      <c r="X55" s="31">
        <f t="shared" si="19"/>
        <v>1.5616793275877326E-3</v>
      </c>
    </row>
    <row r="56" spans="1:24" ht="14.25" customHeight="1" thickBot="1" x14ac:dyDescent="0.35">
      <c r="A56" s="43"/>
      <c r="B56" s="38">
        <v>10</v>
      </c>
      <c r="C56" s="64">
        <v>5</v>
      </c>
      <c r="D56" s="65">
        <v>3.3</v>
      </c>
      <c r="E56" s="65">
        <v>1.4</v>
      </c>
      <c r="F56" s="65">
        <v>0.2</v>
      </c>
      <c r="G56" s="66">
        <v>0</v>
      </c>
      <c r="I56" s="38">
        <f>I55-K4*T55</f>
        <v>0.29211200726897546</v>
      </c>
      <c r="J56" s="40">
        <f>J55-K4*U55</f>
        <v>-0.66603999867367858</v>
      </c>
      <c r="K56" s="40">
        <f>K55-K4*V55</f>
        <v>-0.2578509944210578</v>
      </c>
      <c r="L56" s="40">
        <f>L55-K4*W55</f>
        <v>0.89367090939631366</v>
      </c>
      <c r="M56" s="40">
        <f>M55-K4*X55</f>
        <v>0.71789291659523791</v>
      </c>
      <c r="N56" s="35">
        <f t="shared" si="10"/>
        <v>-2.4942784112150216</v>
      </c>
      <c r="O56" s="35">
        <f t="shared" si="11"/>
        <v>7.6260259314711212E-2</v>
      </c>
      <c r="P56" s="36">
        <f t="shared" si="12"/>
        <v>0</v>
      </c>
      <c r="Q56" s="36">
        <f t="shared" si="13"/>
        <v>7.6260259314711212E-2</v>
      </c>
      <c r="R56" s="37">
        <f t="shared" si="14"/>
        <v>5.8156271507469985E-3</v>
      </c>
      <c r="T56" s="31">
        <f t="shared" si="15"/>
        <v>1.0744251832306713E-2</v>
      </c>
      <c r="U56" s="31">
        <f t="shared" si="16"/>
        <v>5.3721259161533565E-2</v>
      </c>
      <c r="V56" s="31">
        <f t="shared" si="17"/>
        <v>3.5456031046612151E-2</v>
      </c>
      <c r="W56" s="31">
        <f t="shared" si="18"/>
        <v>1.5041952565229397E-2</v>
      </c>
      <c r="X56" s="31">
        <f t="shared" si="19"/>
        <v>2.1488503664613425E-3</v>
      </c>
    </row>
    <row r="57" spans="1:24" ht="14.25" customHeight="1" thickBot="1" x14ac:dyDescent="0.35">
      <c r="A57" s="43"/>
      <c r="B57" s="38">
        <v>11</v>
      </c>
      <c r="C57" s="64">
        <v>5.5</v>
      </c>
      <c r="D57" s="65">
        <v>2.6</v>
      </c>
      <c r="E57" s="65">
        <v>4.4000000000000004</v>
      </c>
      <c r="F57" s="65">
        <v>1.2</v>
      </c>
      <c r="G57" s="66">
        <v>1</v>
      </c>
      <c r="I57" s="38">
        <f>I56-K4*T56</f>
        <v>0.29103758208574476</v>
      </c>
      <c r="J57" s="40">
        <f>J56-K4*U56</f>
        <v>-0.6714121245898319</v>
      </c>
      <c r="K57" s="40">
        <f>K56-K4*V56</f>
        <v>-0.26139659752571903</v>
      </c>
      <c r="L57" s="40">
        <f>L56-K4*W56</f>
        <v>0.89216671413979076</v>
      </c>
      <c r="M57" s="40">
        <f>M56-K4*X56</f>
        <v>0.71767803155859178</v>
      </c>
      <c r="N57" s="35">
        <f t="shared" si="10"/>
        <v>0.70538692336018949</v>
      </c>
      <c r="O57" s="35">
        <f t="shared" si="11"/>
        <v>0.66938103842226016</v>
      </c>
      <c r="P57" s="36">
        <f t="shared" si="12"/>
        <v>1</v>
      </c>
      <c r="Q57" s="36">
        <f t="shared" si="13"/>
        <v>-0.33061896157773984</v>
      </c>
      <c r="R57" s="37">
        <f t="shared" si="14"/>
        <v>0.10930889775474302</v>
      </c>
      <c r="T57" s="31">
        <f t="shared" si="15"/>
        <v>-0.14633860697572509</v>
      </c>
      <c r="U57" s="31">
        <f t="shared" si="16"/>
        <v>-0.80486233836648802</v>
      </c>
      <c r="V57" s="31">
        <f t="shared" si="17"/>
        <v>-0.38048037813688523</v>
      </c>
      <c r="W57" s="31">
        <f t="shared" si="18"/>
        <v>-0.64388987069319048</v>
      </c>
      <c r="X57" s="31">
        <f t="shared" si="19"/>
        <v>-0.17560632837087012</v>
      </c>
    </row>
    <row r="58" spans="1:24" ht="14.25" customHeight="1" thickBot="1" x14ac:dyDescent="0.35">
      <c r="A58" s="43"/>
      <c r="B58" s="38">
        <v>12</v>
      </c>
      <c r="C58" s="64">
        <v>6.1</v>
      </c>
      <c r="D58" s="65">
        <v>3</v>
      </c>
      <c r="E58" s="65">
        <v>4.5999999999999996</v>
      </c>
      <c r="F58" s="65">
        <v>1.4</v>
      </c>
      <c r="G58" s="66">
        <v>1</v>
      </c>
      <c r="I58" s="38">
        <f>I57-K4*T57</f>
        <v>0.30567144278331726</v>
      </c>
      <c r="J58" s="40">
        <f>J57-K4*U57</f>
        <v>-0.59092589075318314</v>
      </c>
      <c r="K58" s="40">
        <f>K57-K4*V57</f>
        <v>-0.22334855971203049</v>
      </c>
      <c r="L58" s="40">
        <f>L57-K4*W57</f>
        <v>0.95655570120910982</v>
      </c>
      <c r="M58" s="40">
        <f>M57-K4*X57</f>
        <v>0.73523866439567875</v>
      </c>
      <c r="N58" s="35">
        <f t="shared" si="10"/>
        <v>1.4604681857686646</v>
      </c>
      <c r="O58" s="35">
        <f t="shared" si="11"/>
        <v>0.81160427213457154</v>
      </c>
      <c r="P58" s="36">
        <f t="shared" si="12"/>
        <v>1</v>
      </c>
      <c r="Q58" s="36">
        <f t="shared" si="13"/>
        <v>-0.18839572786542846</v>
      </c>
      <c r="R58" s="37">
        <f t="shared" si="14"/>
        <v>3.5492950277944579E-2</v>
      </c>
      <c r="T58" s="31">
        <f t="shared" si="15"/>
        <v>-5.7612460152479499E-2</v>
      </c>
      <c r="U58" s="31">
        <f t="shared" si="16"/>
        <v>-0.35143600693012494</v>
      </c>
      <c r="V58" s="31">
        <f t="shared" si="17"/>
        <v>-0.17283738045743849</v>
      </c>
      <c r="W58" s="31">
        <f t="shared" si="18"/>
        <v>-0.26501731670140566</v>
      </c>
      <c r="X58" s="31">
        <f t="shared" si="19"/>
        <v>-8.0657444213471291E-2</v>
      </c>
    </row>
    <row r="59" spans="1:24" ht="14.25" customHeight="1" thickBot="1" x14ac:dyDescent="0.35">
      <c r="A59" s="43"/>
      <c r="B59" s="38">
        <v>13</v>
      </c>
      <c r="C59" s="64">
        <v>5.8</v>
      </c>
      <c r="D59" s="65">
        <v>2.6</v>
      </c>
      <c r="E59" s="65">
        <v>4</v>
      </c>
      <c r="F59" s="65">
        <v>1.2</v>
      </c>
      <c r="G59" s="66">
        <v>1</v>
      </c>
      <c r="I59" s="38">
        <f>I58-K4*T58</f>
        <v>0.31143268879856523</v>
      </c>
      <c r="J59" s="40">
        <f>J58-K4*U58</f>
        <v>-0.55578229006017066</v>
      </c>
      <c r="K59" s="40">
        <f>K58-K4*V58</f>
        <v>-0.20606482166628665</v>
      </c>
      <c r="L59" s="40">
        <f>L58-K4*W58</f>
        <v>0.9830574328792504</v>
      </c>
      <c r="M59" s="40">
        <f>M58-K4*X58</f>
        <v>0.74330440881702586</v>
      </c>
      <c r="N59" s="35">
        <f t="shared" si="10"/>
        <v>1.3763218922146629</v>
      </c>
      <c r="O59" s="35">
        <f t="shared" si="11"/>
        <v>0.79839963034724359</v>
      </c>
      <c r="P59" s="36">
        <f t="shared" si="12"/>
        <v>1</v>
      </c>
      <c r="Q59" s="36">
        <f t="shared" si="13"/>
        <v>-0.20160036965275641</v>
      </c>
      <c r="R59" s="37">
        <f t="shared" si="14"/>
        <v>4.0642709044128027E-2</v>
      </c>
      <c r="T59" s="31">
        <f t="shared" si="15"/>
        <v>-6.489824775428478E-2</v>
      </c>
      <c r="U59" s="31">
        <f t="shared" si="16"/>
        <v>-0.3764098369748517</v>
      </c>
      <c r="V59" s="31">
        <f t="shared" si="17"/>
        <v>-0.16873544416114045</v>
      </c>
      <c r="W59" s="31">
        <f t="shared" si="18"/>
        <v>-0.25959299101713912</v>
      </c>
      <c r="X59" s="31">
        <f t="shared" si="19"/>
        <v>-7.7877897305141733E-2</v>
      </c>
    </row>
    <row r="60" spans="1:24" ht="14.25" customHeight="1" thickBot="1" x14ac:dyDescent="0.35">
      <c r="A60" s="43"/>
      <c r="B60" s="38">
        <v>14</v>
      </c>
      <c r="C60" s="64">
        <v>5</v>
      </c>
      <c r="D60" s="65">
        <v>2.2999999999999998</v>
      </c>
      <c r="E60" s="65">
        <v>3.3</v>
      </c>
      <c r="F60" s="65">
        <v>1</v>
      </c>
      <c r="G60" s="66">
        <v>1</v>
      </c>
      <c r="I60" s="38">
        <f>I59-K4*T59</f>
        <v>0.3179225135739937</v>
      </c>
      <c r="J60" s="40">
        <f>J59-K4*U59</f>
        <v>-0.51814130636268552</v>
      </c>
      <c r="K60" s="40">
        <f>K59-K4*V59</f>
        <v>-0.1891912772501726</v>
      </c>
      <c r="L60" s="40">
        <f>L59-K4*W59</f>
        <v>1.0090167319809644</v>
      </c>
      <c r="M60" s="40">
        <f>M59-K4*X59</f>
        <v>0.75109219854754006</v>
      </c>
      <c r="N60" s="35">
        <f t="shared" si="10"/>
        <v>1.3729234581698919</v>
      </c>
      <c r="O60" s="35">
        <f t="shared" si="11"/>
        <v>0.79785207160601523</v>
      </c>
      <c r="P60" s="36">
        <f t="shared" si="12"/>
        <v>1</v>
      </c>
      <c r="Q60" s="36">
        <f t="shared" si="13"/>
        <v>-0.20214792839398477</v>
      </c>
      <c r="R60" s="37">
        <f t="shared" si="14"/>
        <v>4.086378495397959E-2</v>
      </c>
      <c r="T60" s="31">
        <f t="shared" si="15"/>
        <v>-6.5206510958390668E-2</v>
      </c>
      <c r="U60" s="31">
        <f t="shared" si="16"/>
        <v>-0.32603255479195337</v>
      </c>
      <c r="V60" s="31">
        <f t="shared" si="17"/>
        <v>-0.14997497520429853</v>
      </c>
      <c r="W60" s="31">
        <f t="shared" si="18"/>
        <v>-0.2151814861626892</v>
      </c>
      <c r="X60" s="31">
        <f t="shared" si="19"/>
        <v>-6.5206510958390668E-2</v>
      </c>
    </row>
    <row r="61" spans="1:24" ht="14.25" customHeight="1" thickBot="1" x14ac:dyDescent="0.35">
      <c r="A61" s="43"/>
      <c r="B61" s="38">
        <v>15</v>
      </c>
      <c r="C61" s="64">
        <v>5.6</v>
      </c>
      <c r="D61" s="65">
        <v>2.7</v>
      </c>
      <c r="E61" s="65">
        <v>4.2</v>
      </c>
      <c r="F61" s="65">
        <v>1.3</v>
      </c>
      <c r="G61" s="66">
        <v>1</v>
      </c>
      <c r="I61" s="38">
        <f>I60-K4*T60</f>
        <v>0.32444316466983275</v>
      </c>
      <c r="J61" s="40">
        <f>J60-K4*U60</f>
        <v>-0.48553805088349017</v>
      </c>
      <c r="K61" s="40">
        <f>K60-K4*V60</f>
        <v>-0.17419377972974273</v>
      </c>
      <c r="L61" s="40">
        <f>L60-K4*W60</f>
        <v>1.0305348805972334</v>
      </c>
      <c r="M61" s="40">
        <f>M60-K4*X60</f>
        <v>0.75761284964337916</v>
      </c>
      <c r="N61" s="35">
        <f t="shared" si="10"/>
        <v>2.4482500774967564</v>
      </c>
      <c r="O61" s="35">
        <f t="shared" si="11"/>
        <v>0.92043338815252573</v>
      </c>
      <c r="P61" s="36">
        <f t="shared" si="12"/>
        <v>1</v>
      </c>
      <c r="Q61" s="36">
        <f t="shared" si="13"/>
        <v>-7.9566611847474267E-2</v>
      </c>
      <c r="R61" s="37">
        <f t="shared" si="14"/>
        <v>6.3308457208866324E-3</v>
      </c>
      <c r="T61" s="31">
        <f t="shared" si="15"/>
        <v>-1.1654243553493204E-2</v>
      </c>
      <c r="U61" s="31">
        <f t="shared" si="16"/>
        <v>-6.5263763899561941E-2</v>
      </c>
      <c r="V61" s="31">
        <f t="shared" si="17"/>
        <v>-3.1466457594431653E-2</v>
      </c>
      <c r="W61" s="31">
        <f t="shared" si="18"/>
        <v>-4.8947822924671459E-2</v>
      </c>
      <c r="X61" s="31">
        <f t="shared" si="19"/>
        <v>-1.5150516619541166E-2</v>
      </c>
    </row>
    <row r="62" spans="1:24" ht="14.25" customHeight="1" thickBot="1" x14ac:dyDescent="0.35">
      <c r="A62" s="43"/>
      <c r="B62" s="38">
        <v>16</v>
      </c>
      <c r="C62" s="64">
        <v>5.7</v>
      </c>
      <c r="D62" s="65">
        <v>3</v>
      </c>
      <c r="E62" s="65">
        <v>4.2</v>
      </c>
      <c r="F62" s="65">
        <v>1.2</v>
      </c>
      <c r="G62" s="66">
        <v>1</v>
      </c>
      <c r="I62" s="38">
        <f>I61-K4*T61</f>
        <v>0.32560858902518208</v>
      </c>
      <c r="J62" s="40">
        <f>J61-K4*U61</f>
        <v>-0.47901167449353399</v>
      </c>
      <c r="K62" s="40">
        <f>K61-K4*V61</f>
        <v>-0.17104713397029955</v>
      </c>
      <c r="L62" s="40">
        <f>L61-K4*W61</f>
        <v>1.0354296628897006</v>
      </c>
      <c r="M62" s="40">
        <f>M61-K4*X61</f>
        <v>0.75912790130533325</v>
      </c>
      <c r="N62" s="35">
        <f t="shared" si="10"/>
        <v>2.3418587082042825</v>
      </c>
      <c r="O62" s="35">
        <f t="shared" si="11"/>
        <v>0.9122849351292146</v>
      </c>
      <c r="P62" s="36">
        <f t="shared" si="12"/>
        <v>1</v>
      </c>
      <c r="Q62" s="36">
        <f t="shared" si="13"/>
        <v>-8.7715064870785397E-2</v>
      </c>
      <c r="R62" s="37">
        <f t="shared" si="14"/>
        <v>7.6939326052860909E-3</v>
      </c>
      <c r="T62" s="31">
        <f t="shared" si="15"/>
        <v>-1.4038117615403941E-2</v>
      </c>
      <c r="U62" s="31">
        <f t="shared" si="16"/>
        <v>-8.001727040780246E-2</v>
      </c>
      <c r="V62" s="31">
        <f t="shared" si="17"/>
        <v>-4.2114352846211824E-2</v>
      </c>
      <c r="W62" s="31">
        <f t="shared" si="18"/>
        <v>-5.8960093984696552E-2</v>
      </c>
      <c r="X62" s="31">
        <f t="shared" si="19"/>
        <v>-1.6845741138484728E-2</v>
      </c>
    </row>
    <row r="63" spans="1:24" ht="14.25" customHeight="1" thickBot="1" x14ac:dyDescent="0.35">
      <c r="A63" s="43"/>
      <c r="B63" s="38">
        <v>17</v>
      </c>
      <c r="C63" s="64">
        <v>5.7</v>
      </c>
      <c r="D63" s="65">
        <v>2.9</v>
      </c>
      <c r="E63" s="65">
        <v>4.2</v>
      </c>
      <c r="F63" s="65">
        <v>1.3</v>
      </c>
      <c r="G63" s="66">
        <v>1</v>
      </c>
      <c r="I63" s="38">
        <f>I62-K4*T62</f>
        <v>0.3270124007867225</v>
      </c>
      <c r="J63" s="40">
        <f>J62-K4*U62</f>
        <v>-0.47100994745275376</v>
      </c>
      <c r="K63" s="40">
        <f>K62-K4*V62</f>
        <v>-0.16683569868567838</v>
      </c>
      <c r="L63" s="40">
        <f>L62-K4*W62</f>
        <v>1.0413256722881703</v>
      </c>
      <c r="M63" s="40">
        <f>M62-K4*X62</f>
        <v>0.76081247541918173</v>
      </c>
      <c r="N63" s="35">
        <f t="shared" si="10"/>
        <v>2.52105621577281</v>
      </c>
      <c r="O63" s="35">
        <f t="shared" si="11"/>
        <v>0.92560481912327175</v>
      </c>
      <c r="P63" s="36">
        <f t="shared" si="12"/>
        <v>1</v>
      </c>
      <c r="Q63" s="36">
        <f t="shared" si="13"/>
        <v>-7.4395180876728251E-2</v>
      </c>
      <c r="R63" s="37">
        <f t="shared" si="14"/>
        <v>5.5346429376811127E-3</v>
      </c>
      <c r="T63" s="31">
        <f t="shared" si="15"/>
        <v>-1.0245784350488439E-2</v>
      </c>
      <c r="U63" s="31">
        <f t="shared" si="16"/>
        <v>-5.8400970797784106E-2</v>
      </c>
      <c r="V63" s="31">
        <f t="shared" si="17"/>
        <v>-2.9712774616416474E-2</v>
      </c>
      <c r="W63" s="31">
        <f t="shared" si="18"/>
        <v>-4.303229427205145E-2</v>
      </c>
      <c r="X63" s="31">
        <f t="shared" si="19"/>
        <v>-1.3319519655634972E-2</v>
      </c>
    </row>
    <row r="64" spans="1:24" ht="14.25" customHeight="1" thickBot="1" x14ac:dyDescent="0.35">
      <c r="A64" s="43"/>
      <c r="B64" s="38">
        <v>18</v>
      </c>
      <c r="C64" s="64">
        <v>6.2</v>
      </c>
      <c r="D64" s="65">
        <v>2.9</v>
      </c>
      <c r="E64" s="65">
        <v>4.3</v>
      </c>
      <c r="F64" s="65">
        <v>1.3</v>
      </c>
      <c r="G64" s="66">
        <v>1</v>
      </c>
      <c r="I64" s="38">
        <f>I63-K4*T63</f>
        <v>0.32803697922177133</v>
      </c>
      <c r="J64" s="40">
        <f>J63-K4*U63</f>
        <v>-0.46516985037297537</v>
      </c>
      <c r="K64" s="40">
        <f>K63-K4*V63</f>
        <v>-0.16386442122403674</v>
      </c>
      <c r="L64" s="40">
        <f>L63-K4*W63</f>
        <v>1.0456289017153755</v>
      </c>
      <c r="M64" s="40">
        <f>M63-K4*X63</f>
        <v>0.76214442738474519</v>
      </c>
      <c r="N64" s="35">
        <f t="shared" si="10"/>
        <v>2.4557691183359007</v>
      </c>
      <c r="O64" s="35">
        <f t="shared" si="11"/>
        <v>0.9209823129909156</v>
      </c>
      <c r="P64" s="36">
        <f t="shared" si="12"/>
        <v>1</v>
      </c>
      <c r="Q64" s="36">
        <f t="shared" si="13"/>
        <v>-7.9017687009084403E-2</v>
      </c>
      <c r="R64" s="37">
        <f t="shared" si="14"/>
        <v>6.2437948602656257E-3</v>
      </c>
      <c r="T64" s="31">
        <f t="shared" si="15"/>
        <v>-1.1500849264496453E-2</v>
      </c>
      <c r="U64" s="31">
        <f t="shared" si="16"/>
        <v>-7.1305265439878016E-2</v>
      </c>
      <c r="V64" s="31">
        <f t="shared" si="17"/>
        <v>-3.335246286703971E-2</v>
      </c>
      <c r="W64" s="31">
        <f t="shared" si="18"/>
        <v>-4.9453651837334744E-2</v>
      </c>
      <c r="X64" s="31">
        <f t="shared" si="19"/>
        <v>-1.4951104043845389E-2</v>
      </c>
    </row>
    <row r="65" spans="1:24" ht="14.25" customHeight="1" thickBot="1" x14ac:dyDescent="0.35">
      <c r="A65" s="43"/>
      <c r="B65" s="38">
        <v>19</v>
      </c>
      <c r="C65" s="64">
        <v>5.0999999999999996</v>
      </c>
      <c r="D65" s="65">
        <v>2.5</v>
      </c>
      <c r="E65" s="65">
        <v>3</v>
      </c>
      <c r="F65" s="65">
        <v>1.1000000000000001</v>
      </c>
      <c r="G65" s="66">
        <v>1</v>
      </c>
      <c r="I65" s="38">
        <f>I64-K4*T64</f>
        <v>0.32918706414822096</v>
      </c>
      <c r="J65" s="40">
        <f>J64-K4*U64</f>
        <v>-0.45803932382898754</v>
      </c>
      <c r="K65" s="40">
        <f>K64-K4*V64</f>
        <v>-0.16052917493733276</v>
      </c>
      <c r="L65" s="40">
        <f>L64-K4*W64</f>
        <v>1.0505742668991089</v>
      </c>
      <c r="M65" s="40">
        <f>M64-K4*X64</f>
        <v>0.76363953778912974</v>
      </c>
      <c r="N65" s="35">
        <f t="shared" si="10"/>
        <v>1.5835898675424225</v>
      </c>
      <c r="O65" s="35">
        <f t="shared" si="11"/>
        <v>0.82971233008377143</v>
      </c>
      <c r="P65" s="36">
        <f t="shared" si="12"/>
        <v>1</v>
      </c>
      <c r="Q65" s="36">
        <f t="shared" si="13"/>
        <v>-0.17028766991622857</v>
      </c>
      <c r="R65" s="37">
        <f t="shared" si="14"/>
        <v>2.8997890525498417E-2</v>
      </c>
      <c r="T65" s="31">
        <f t="shared" si="15"/>
        <v>-4.811981463085082E-2</v>
      </c>
      <c r="U65" s="31">
        <f t="shared" si="16"/>
        <v>-0.24541105461733917</v>
      </c>
      <c r="V65" s="31">
        <f t="shared" si="17"/>
        <v>-0.12029953657712705</v>
      </c>
      <c r="W65" s="31">
        <f t="shared" si="18"/>
        <v>-0.14435944389255245</v>
      </c>
      <c r="X65" s="31">
        <f t="shared" si="19"/>
        <v>-5.2931796093935904E-2</v>
      </c>
    </row>
    <row r="66" spans="1:24" ht="14.25" customHeight="1" thickBot="1" x14ac:dyDescent="0.35">
      <c r="A66" s="44"/>
      <c r="B66" s="38">
        <v>20</v>
      </c>
      <c r="C66" s="64">
        <v>5.7</v>
      </c>
      <c r="D66" s="65">
        <v>2.8</v>
      </c>
      <c r="E66" s="65">
        <v>4.0999999999999996</v>
      </c>
      <c r="F66" s="65">
        <v>1.3</v>
      </c>
      <c r="G66" s="66">
        <v>1</v>
      </c>
      <c r="H66" s="37">
        <f>SUMPRODUCT(--(P47:P66=G47:G66))/20</f>
        <v>0.95</v>
      </c>
      <c r="I66" s="38">
        <f>I65-K4*T65</f>
        <v>0.33399904561130606</v>
      </c>
      <c r="J66" s="40">
        <f>J65-K4*U65</f>
        <v>-0.43349821836725361</v>
      </c>
      <c r="K66" s="40">
        <f>K65-K4*V65</f>
        <v>-0.14849922127962006</v>
      </c>
      <c r="L66" s="40">
        <f>L65-K4*W65</f>
        <v>1.0650102112883642</v>
      </c>
      <c r="M66" s="40">
        <f>M65-K4*X65</f>
        <v>0.76893271739852331</v>
      </c>
      <c r="N66" s="35">
        <f t="shared" si="10"/>
        <v>2.8134157802353976</v>
      </c>
      <c r="O66" s="35">
        <f t="shared" si="11"/>
        <v>0.94339649680298998</v>
      </c>
      <c r="P66" s="36">
        <f t="shared" si="12"/>
        <v>1</v>
      </c>
      <c r="Q66" s="36">
        <f t="shared" si="13"/>
        <v>-5.6603503197010019E-2</v>
      </c>
      <c r="R66" s="37">
        <f t="shared" si="14"/>
        <v>3.2039565741739232E-3</v>
      </c>
      <c r="S66" s="37">
        <f>AVERAGE(R47:R66)</f>
        <v>4.2968768066169311E-2</v>
      </c>
      <c r="T66" s="31">
        <f t="shared" si="15"/>
        <v>-6.0452028159691763E-3</v>
      </c>
      <c r="U66" s="31">
        <f t="shared" si="16"/>
        <v>-3.4457656051024306E-2</v>
      </c>
      <c r="V66" s="31">
        <f t="shared" si="17"/>
        <v>-1.6926567884713691E-2</v>
      </c>
      <c r="W66" s="31">
        <f t="shared" si="18"/>
        <v>-2.4785331545473622E-2</v>
      </c>
      <c r="X66" s="31">
        <f t="shared" si="19"/>
        <v>-7.8587636607599289E-3</v>
      </c>
    </row>
    <row r="67" spans="1:24" ht="14.25" customHeight="1" thickBot="1" x14ac:dyDescent="0.35">
      <c r="A67" s="57" t="s">
        <v>37</v>
      </c>
      <c r="B67" s="51">
        <v>1</v>
      </c>
      <c r="C67" s="58">
        <v>5</v>
      </c>
      <c r="D67" s="59">
        <v>3.5</v>
      </c>
      <c r="E67" s="59">
        <v>1.3</v>
      </c>
      <c r="F67" s="59">
        <v>0.3</v>
      </c>
      <c r="G67" s="60">
        <v>0</v>
      </c>
      <c r="H67" s="61"/>
      <c r="I67" s="51">
        <f>'SLP-Training'!I324-'SLP-Training'!$K$2*'SLP-Training'!T324</f>
        <v>0.33446515823676626</v>
      </c>
      <c r="J67" s="52">
        <f>'SLP-Training'!J324-'SLP-Training'!$K$2*'SLP-Training'!U324</f>
        <v>-0.37796403590500777</v>
      </c>
      <c r="K67" s="52">
        <f>'SLP-Training'!K324-'SLP-Training'!$K$2*'SLP-Training'!V324</f>
        <v>-0.14880474978608213</v>
      </c>
      <c r="L67" s="52">
        <f>'SLP-Training'!L324-'SLP-Training'!$K$2*'SLP-Training'!W324</f>
        <v>1.1240992547442141</v>
      </c>
      <c r="M67" s="52">
        <f>'SLP-Training'!M324-'SLP-Training'!$K$2*'SLP-Training'!X324</f>
        <v>0.79980446162516139</v>
      </c>
      <c r="N67" s="53">
        <f t="shared" ref="N67:N86" si="20">I67+J67*C67+K67*D67+L67*E67+F67*M67</f>
        <v>-0.37490127588453315</v>
      </c>
      <c r="O67" s="53">
        <f t="shared" ref="O67:O86" si="21">1/(1+EXP(-N67))</f>
        <v>0.40735723353908837</v>
      </c>
      <c r="P67" s="54">
        <f t="shared" ref="P67:P86" si="22">IF(O67&gt;0.5,1,0)</f>
        <v>0</v>
      </c>
      <c r="Q67" s="54">
        <f t="shared" ref="Q67:Q86" si="23">O67-G67</f>
        <v>0.40735723353908837</v>
      </c>
      <c r="R67" s="55">
        <f t="shared" ref="R67:R86" si="24">Q67^2</f>
        <v>0.1659399157166194</v>
      </c>
      <c r="T67" s="31">
        <f t="shared" ref="T67:T86" si="25">2*(O67-G67)*(1-O67)*O67</f>
        <v>0.19668618143317562</v>
      </c>
      <c r="U67" s="31">
        <f t="shared" ref="U67:U86" si="26">2*(O67-G67)*(1-O67)*O67*C67</f>
        <v>0.98343090716587811</v>
      </c>
      <c r="V67" s="31">
        <f t="shared" ref="V67:V86" si="27">2*(O67-G67)*(1-O67)*O67*D67</f>
        <v>0.68840163501611462</v>
      </c>
      <c r="W67" s="31">
        <f t="shared" ref="W67:W86" si="28">2*(O67-G67)*(1-O67)*O67*E67</f>
        <v>0.25569203586312833</v>
      </c>
      <c r="X67" s="31">
        <f t="shared" ref="X67:X86" si="29">2*(O67-G67)*(1-O67)*O67*F67</f>
        <v>5.9005854429952681E-2</v>
      </c>
    </row>
    <row r="68" spans="1:24" ht="14.25" customHeight="1" thickBot="1" x14ac:dyDescent="0.35">
      <c r="A68" s="62"/>
      <c r="B68" s="51">
        <v>2</v>
      </c>
      <c r="C68" s="58">
        <v>4.5</v>
      </c>
      <c r="D68" s="59">
        <v>2.2999999999999998</v>
      </c>
      <c r="E68" s="59">
        <v>1.3</v>
      </c>
      <c r="F68" s="59">
        <v>0.3</v>
      </c>
      <c r="G68" s="60">
        <v>0</v>
      </c>
      <c r="H68" s="61"/>
      <c r="I68" s="51">
        <f>I67-K4*T67</f>
        <v>0.31479654009344871</v>
      </c>
      <c r="J68" s="52">
        <f>J67-K4*U67</f>
        <v>-0.47630712662159558</v>
      </c>
      <c r="K68" s="52">
        <f>K67-K4*V67</f>
        <v>-0.21764491328769359</v>
      </c>
      <c r="L68" s="52">
        <f>L67-K4*W67</f>
        <v>1.0985300511579013</v>
      </c>
      <c r="M68" s="52">
        <f>M67-K4*X67</f>
        <v>0.79390387618216607</v>
      </c>
      <c r="N68" s="53">
        <f t="shared" si="20"/>
        <v>-0.66290860090550485</v>
      </c>
      <c r="O68" s="53">
        <f t="shared" si="21"/>
        <v>0.34008653768185299</v>
      </c>
      <c r="P68" s="54">
        <f t="shared" si="22"/>
        <v>0</v>
      </c>
      <c r="Q68" s="54">
        <f t="shared" si="23"/>
        <v>0.34008653768185299</v>
      </c>
      <c r="R68" s="55">
        <f t="shared" si="24"/>
        <v>0.1156588531124304</v>
      </c>
      <c r="T68" s="31">
        <f t="shared" si="25"/>
        <v>0.15264966841033989</v>
      </c>
      <c r="U68" s="31">
        <f t="shared" si="26"/>
        <v>0.68692350784652945</v>
      </c>
      <c r="V68" s="31">
        <f t="shared" si="27"/>
        <v>0.3510942373437817</v>
      </c>
      <c r="W68" s="31">
        <f t="shared" si="28"/>
        <v>0.19844456893344187</v>
      </c>
      <c r="X68" s="31">
        <f t="shared" si="29"/>
        <v>4.5794900523101964E-2</v>
      </c>
    </row>
    <row r="69" spans="1:24" ht="14.25" customHeight="1" thickBot="1" x14ac:dyDescent="0.35">
      <c r="A69" s="62"/>
      <c r="B69" s="51">
        <v>3</v>
      </c>
      <c r="C69" s="58">
        <v>4.4000000000000004</v>
      </c>
      <c r="D69" s="59">
        <v>3.2</v>
      </c>
      <c r="E69" s="59">
        <v>1.3</v>
      </c>
      <c r="F69" s="59">
        <v>0.2</v>
      </c>
      <c r="G69" s="60">
        <v>0</v>
      </c>
      <c r="H69" s="61"/>
      <c r="I69" s="51">
        <f>I68-K4*T68</f>
        <v>0.2995315732524147</v>
      </c>
      <c r="J69" s="52">
        <f>J68-K4*U68</f>
        <v>-0.54499947740624854</v>
      </c>
      <c r="K69" s="52">
        <f>K68-K4*V68</f>
        <v>-0.25275433702207173</v>
      </c>
      <c r="L69" s="52">
        <f>L68-K4*W68</f>
        <v>1.078685594264557</v>
      </c>
      <c r="M69" s="52">
        <f>M68-K4*X68</f>
        <v>0.78932438612985589</v>
      </c>
      <c r="N69" s="53">
        <f t="shared" si="20"/>
        <v>-1.3471238560358134</v>
      </c>
      <c r="O69" s="53">
        <f t="shared" si="21"/>
        <v>0.20634098393453751</v>
      </c>
      <c r="P69" s="54">
        <f t="shared" si="22"/>
        <v>0</v>
      </c>
      <c r="Q69" s="54">
        <f t="shared" si="23"/>
        <v>0.20634098393453751</v>
      </c>
      <c r="R69" s="55">
        <f t="shared" si="24"/>
        <v>4.2576601651073069E-2</v>
      </c>
      <c r="T69" s="31">
        <f t="shared" si="25"/>
        <v>6.7582607547603604E-2</v>
      </c>
      <c r="U69" s="31">
        <f t="shared" si="26"/>
        <v>0.29736347320945589</v>
      </c>
      <c r="V69" s="31">
        <f t="shared" si="27"/>
        <v>0.21626434415233153</v>
      </c>
      <c r="W69" s="31">
        <f t="shared" si="28"/>
        <v>8.7857389811884692E-2</v>
      </c>
      <c r="X69" s="31">
        <f t="shared" si="29"/>
        <v>1.3516521509520721E-2</v>
      </c>
    </row>
    <row r="70" spans="1:24" ht="14.25" customHeight="1" thickBot="1" x14ac:dyDescent="0.35">
      <c r="A70" s="62"/>
      <c r="B70" s="51">
        <v>4</v>
      </c>
      <c r="C70" s="58">
        <v>5</v>
      </c>
      <c r="D70" s="59">
        <v>3.5</v>
      </c>
      <c r="E70" s="59">
        <v>1.6</v>
      </c>
      <c r="F70" s="59">
        <v>0.6</v>
      </c>
      <c r="G70" s="60">
        <v>0</v>
      </c>
      <c r="H70" s="61"/>
      <c r="I70" s="51">
        <f>I69-K4*T69</f>
        <v>0.29277331249765431</v>
      </c>
      <c r="J70" s="52">
        <f>J69-K4*U69</f>
        <v>-0.57473582472719409</v>
      </c>
      <c r="K70" s="52">
        <f>K69-K4*V69</f>
        <v>-0.27438077143730488</v>
      </c>
      <c r="L70" s="52">
        <f>L69-K4*W69</f>
        <v>1.0698998552833685</v>
      </c>
      <c r="M70" s="52">
        <f>M69-K4*X69</f>
        <v>0.78797273397890377</v>
      </c>
      <c r="N70" s="53">
        <f t="shared" si="20"/>
        <v>-1.3566151023281512</v>
      </c>
      <c r="O70" s="53">
        <f t="shared" si="21"/>
        <v>0.20479098761845171</v>
      </c>
      <c r="P70" s="54">
        <f t="shared" si="22"/>
        <v>0</v>
      </c>
      <c r="Q70" s="54">
        <f t="shared" si="23"/>
        <v>0.20479098761845171</v>
      </c>
      <c r="R70" s="55">
        <f t="shared" si="24"/>
        <v>4.1939348609740842E-2</v>
      </c>
      <c r="T70" s="31">
        <f t="shared" si="25"/>
        <v>6.6701095975754951E-2</v>
      </c>
      <c r="U70" s="31">
        <f t="shared" si="26"/>
        <v>0.33350547987877477</v>
      </c>
      <c r="V70" s="31">
        <f t="shared" si="27"/>
        <v>0.23345383591514232</v>
      </c>
      <c r="W70" s="31">
        <f t="shared" si="28"/>
        <v>0.10672175356120793</v>
      </c>
      <c r="X70" s="31">
        <f t="shared" si="29"/>
        <v>4.0020657585452972E-2</v>
      </c>
    </row>
    <row r="71" spans="1:24" ht="14.25" customHeight="1" thickBot="1" x14ac:dyDescent="0.35">
      <c r="A71" s="62"/>
      <c r="B71" s="51">
        <v>5</v>
      </c>
      <c r="C71" s="58">
        <v>5.0999999999999996</v>
      </c>
      <c r="D71" s="59">
        <v>3.8</v>
      </c>
      <c r="E71" s="59">
        <v>1.9</v>
      </c>
      <c r="F71" s="59">
        <v>0.4</v>
      </c>
      <c r="G71" s="60">
        <v>0</v>
      </c>
      <c r="H71" s="61"/>
      <c r="I71" s="51">
        <f>I70-K4*T70</f>
        <v>0.28610320290007885</v>
      </c>
      <c r="J71" s="52">
        <f>J70-K4*U70</f>
        <v>-0.6080863727150716</v>
      </c>
      <c r="K71" s="52">
        <f>K70-K4*V70</f>
        <v>-0.29772615502881911</v>
      </c>
      <c r="L71" s="52">
        <f>L70-K4*W70</f>
        <v>1.0592276799272478</v>
      </c>
      <c r="M71" s="52">
        <f>M70-K4*X70</f>
        <v>0.78397066822035844</v>
      </c>
      <c r="N71" s="53">
        <f t="shared" si="20"/>
        <v>-1.6203758279063849</v>
      </c>
      <c r="O71" s="53">
        <f t="shared" si="21"/>
        <v>0.16515304545078646</v>
      </c>
      <c r="P71" s="54">
        <f t="shared" si="22"/>
        <v>0</v>
      </c>
      <c r="Q71" s="54">
        <f t="shared" si="23"/>
        <v>0.16515304545078646</v>
      </c>
      <c r="R71" s="55">
        <f t="shared" si="24"/>
        <v>2.727552842166954E-2</v>
      </c>
      <c r="T71" s="31">
        <f t="shared" si="25"/>
        <v>4.5541783673102666E-2</v>
      </c>
      <c r="U71" s="31">
        <f t="shared" si="26"/>
        <v>0.23226309673282358</v>
      </c>
      <c r="V71" s="31">
        <f t="shared" si="27"/>
        <v>0.17305877795779012</v>
      </c>
      <c r="W71" s="31">
        <f t="shared" si="28"/>
        <v>8.6529388978895061E-2</v>
      </c>
      <c r="X71" s="31">
        <f t="shared" si="29"/>
        <v>1.8216713469241069E-2</v>
      </c>
    </row>
    <row r="72" spans="1:24" ht="14.25" customHeight="1" thickBot="1" x14ac:dyDescent="0.35">
      <c r="A72" s="62"/>
      <c r="B72" s="51">
        <v>6</v>
      </c>
      <c r="C72" s="58">
        <v>4.8</v>
      </c>
      <c r="D72" s="59">
        <v>3</v>
      </c>
      <c r="E72" s="59">
        <v>1.4</v>
      </c>
      <c r="F72" s="59">
        <v>0.3</v>
      </c>
      <c r="G72" s="60">
        <v>0</v>
      </c>
      <c r="H72" s="61"/>
      <c r="I72" s="51">
        <f>I71-K4*T71</f>
        <v>0.28154902453276859</v>
      </c>
      <c r="J72" s="52">
        <f>J71-K4*U71</f>
        <v>-0.63131268238835392</v>
      </c>
      <c r="K72" s="52">
        <f>K71-K4*V71</f>
        <v>-0.31503203282459813</v>
      </c>
      <c r="L72" s="52">
        <f>L71-K4*W71</f>
        <v>1.0505747410293582</v>
      </c>
      <c r="M72" s="52">
        <f>M71-K4*X71</f>
        <v>0.78214899687343431</v>
      </c>
      <c r="N72" s="53">
        <f t="shared" si="20"/>
        <v>-1.9883986129019924</v>
      </c>
      <c r="O72" s="53">
        <f t="shared" si="21"/>
        <v>0.12042638450798444</v>
      </c>
      <c r="P72" s="54">
        <f t="shared" si="22"/>
        <v>0</v>
      </c>
      <c r="Q72" s="54">
        <f t="shared" si="23"/>
        <v>0.12042638450798444</v>
      </c>
      <c r="R72" s="55">
        <f t="shared" si="24"/>
        <v>1.4502514085664915E-2</v>
      </c>
      <c r="T72" s="31">
        <f t="shared" si="25"/>
        <v>2.5512057496104343E-2</v>
      </c>
      <c r="U72" s="31">
        <f t="shared" si="26"/>
        <v>0.12245787598130084</v>
      </c>
      <c r="V72" s="31">
        <f t="shared" si="27"/>
        <v>7.6536172488313028E-2</v>
      </c>
      <c r="W72" s="31">
        <f t="shared" si="28"/>
        <v>3.5716880494546077E-2</v>
      </c>
      <c r="X72" s="31">
        <f t="shared" si="29"/>
        <v>7.6536172488313025E-3</v>
      </c>
    </row>
    <row r="73" spans="1:24" ht="14.25" customHeight="1" thickBot="1" x14ac:dyDescent="0.35">
      <c r="A73" s="62"/>
      <c r="B73" s="51">
        <v>7</v>
      </c>
      <c r="C73" s="58">
        <v>5.0999999999999996</v>
      </c>
      <c r="D73" s="59">
        <v>3.8</v>
      </c>
      <c r="E73" s="59">
        <v>1.6</v>
      </c>
      <c r="F73" s="59">
        <v>0.2</v>
      </c>
      <c r="G73" s="60">
        <v>0</v>
      </c>
      <c r="H73" s="61"/>
      <c r="I73" s="51">
        <f>I72-K4*T72</f>
        <v>0.27899781878315816</v>
      </c>
      <c r="J73" s="52">
        <f>J72-K4*U72</f>
        <v>-0.64355846998648403</v>
      </c>
      <c r="K73" s="52">
        <f>K72-K4*V72</f>
        <v>-0.32268565007342942</v>
      </c>
      <c r="L73" s="52">
        <f>L72-K4*W72</f>
        <v>1.0470030529799037</v>
      </c>
      <c r="M73" s="52">
        <f>M72-K4*X72</f>
        <v>0.78138363514855114</v>
      </c>
      <c r="N73" s="53">
        <f t="shared" si="20"/>
        <v>-2.3978742366293857</v>
      </c>
      <c r="O73" s="53">
        <f t="shared" si="21"/>
        <v>8.333494027699348E-2</v>
      </c>
      <c r="P73" s="54">
        <f t="shared" si="22"/>
        <v>0</v>
      </c>
      <c r="Q73" s="54">
        <f t="shared" si="23"/>
        <v>8.333494027699348E-2</v>
      </c>
      <c r="R73" s="55">
        <f t="shared" si="24"/>
        <v>6.9447122709700698E-3</v>
      </c>
      <c r="T73" s="31">
        <f t="shared" si="25"/>
        <v>1.2731950177255751E-2</v>
      </c>
      <c r="U73" s="31">
        <f t="shared" si="26"/>
        <v>6.4932945904004322E-2</v>
      </c>
      <c r="V73" s="31">
        <f t="shared" si="27"/>
        <v>4.8381410673571851E-2</v>
      </c>
      <c r="W73" s="31">
        <f t="shared" si="28"/>
        <v>2.0371120283609202E-2</v>
      </c>
      <c r="X73" s="31">
        <f t="shared" si="29"/>
        <v>2.5463900354511502E-3</v>
      </c>
    </row>
    <row r="74" spans="1:24" ht="14.25" customHeight="1" thickBot="1" x14ac:dyDescent="0.35">
      <c r="A74" s="62"/>
      <c r="B74" s="51">
        <v>8</v>
      </c>
      <c r="C74" s="58">
        <v>4.5999999999999996</v>
      </c>
      <c r="D74" s="59">
        <v>3.2</v>
      </c>
      <c r="E74" s="59">
        <v>1.4</v>
      </c>
      <c r="F74" s="59">
        <v>0.2</v>
      </c>
      <c r="G74" s="60">
        <v>0</v>
      </c>
      <c r="H74" s="61"/>
      <c r="I74" s="51">
        <f>I73-K4*T73</f>
        <v>0.27772462376543261</v>
      </c>
      <c r="J74" s="52">
        <f>J73-K4*U73</f>
        <v>-0.65005176457688441</v>
      </c>
      <c r="K74" s="52">
        <f>K73-K4*V73</f>
        <v>-0.32752379114078661</v>
      </c>
      <c r="L74" s="52">
        <f>L73-K4*W73</f>
        <v>1.0449659409515428</v>
      </c>
      <c r="M74" s="52">
        <f>M73-K4*X73</f>
        <v>0.78112899614500597</v>
      </c>
      <c r="N74" s="53">
        <f t="shared" si="20"/>
        <v>-2.1414115083775913</v>
      </c>
      <c r="O74" s="53">
        <f t="shared" si="21"/>
        <v>0.1051365167853355</v>
      </c>
      <c r="P74" s="54">
        <f t="shared" si="22"/>
        <v>0</v>
      </c>
      <c r="Q74" s="54">
        <f t="shared" si="23"/>
        <v>0.1051365167853355</v>
      </c>
      <c r="R74" s="55">
        <f t="shared" si="24"/>
        <v>1.1053687161753135E-2</v>
      </c>
      <c r="T74" s="31">
        <f t="shared" si="25"/>
        <v>1.9783081991863256E-2</v>
      </c>
      <c r="U74" s="31">
        <f t="shared" si="26"/>
        <v>9.1002177162570974E-2</v>
      </c>
      <c r="V74" s="31">
        <f t="shared" si="27"/>
        <v>6.3305862373962421E-2</v>
      </c>
      <c r="W74" s="31">
        <f t="shared" si="28"/>
        <v>2.7696314788608557E-2</v>
      </c>
      <c r="X74" s="31">
        <f t="shared" si="29"/>
        <v>3.9566163983726513E-3</v>
      </c>
    </row>
    <row r="75" spans="1:24" ht="14.25" customHeight="1" thickBot="1" x14ac:dyDescent="0.35">
      <c r="A75" s="62"/>
      <c r="B75" s="51">
        <v>9</v>
      </c>
      <c r="C75" s="58">
        <v>5.3</v>
      </c>
      <c r="D75" s="59">
        <v>3.7</v>
      </c>
      <c r="E75" s="59">
        <v>1.5</v>
      </c>
      <c r="F75" s="59">
        <v>0.2</v>
      </c>
      <c r="G75" s="60">
        <v>0</v>
      </c>
      <c r="H75" s="61"/>
      <c r="I75" s="51">
        <f>I74-K4*T74</f>
        <v>0.27574631556624629</v>
      </c>
      <c r="J75" s="52">
        <f>J74-K4*U74</f>
        <v>-0.65915198229314154</v>
      </c>
      <c r="K75" s="52">
        <f>K74-K4*V74</f>
        <v>-0.33385437737818285</v>
      </c>
      <c r="L75" s="52">
        <f>L74-K4*W74</f>
        <v>1.042196309472682</v>
      </c>
      <c r="M75" s="52">
        <f>M74-K4*X74</f>
        <v>0.78073333450516869</v>
      </c>
      <c r="N75" s="53">
        <f t="shared" si="20"/>
        <v>-2.7335792557766236</v>
      </c>
      <c r="O75" s="53">
        <f t="shared" si="21"/>
        <v>6.1020758877963967E-2</v>
      </c>
      <c r="P75" s="54">
        <f t="shared" si="22"/>
        <v>0</v>
      </c>
      <c r="Q75" s="54">
        <f t="shared" si="23"/>
        <v>6.1020758877963967E-2</v>
      </c>
      <c r="R75" s="55">
        <f t="shared" si="24"/>
        <v>3.7235330140426184E-3</v>
      </c>
      <c r="T75" s="31">
        <f t="shared" si="25"/>
        <v>6.9926404076371702E-3</v>
      </c>
      <c r="U75" s="31">
        <f t="shared" si="26"/>
        <v>3.7060994160477E-2</v>
      </c>
      <c r="V75" s="31">
        <f t="shared" si="27"/>
        <v>2.587276950825753E-2</v>
      </c>
      <c r="W75" s="31">
        <f t="shared" si="28"/>
        <v>1.0488960611455756E-2</v>
      </c>
      <c r="X75" s="31">
        <f t="shared" si="29"/>
        <v>1.3985280815274341E-3</v>
      </c>
    </row>
    <row r="76" spans="1:24" ht="14.25" customHeight="1" thickBot="1" x14ac:dyDescent="0.35">
      <c r="A76" s="62"/>
      <c r="B76" s="51">
        <v>10</v>
      </c>
      <c r="C76" s="58">
        <v>5</v>
      </c>
      <c r="D76" s="59">
        <v>3.3</v>
      </c>
      <c r="E76" s="59">
        <v>1.4</v>
      </c>
      <c r="F76" s="59">
        <v>0.2</v>
      </c>
      <c r="G76" s="60">
        <v>0</v>
      </c>
      <c r="H76" s="61"/>
      <c r="I76" s="51">
        <f>I75-K4*T75</f>
        <v>0.27504705152548259</v>
      </c>
      <c r="J76" s="52">
        <f>J75-K4*U75</f>
        <v>-0.66285808170918925</v>
      </c>
      <c r="K76" s="52">
        <f>K75-K4*V75</f>
        <v>-0.33644165432900863</v>
      </c>
      <c r="L76" s="52">
        <f>L75-K4*W75</f>
        <v>1.0411474134115364</v>
      </c>
      <c r="M76" s="52">
        <f>M75-K4*X75</f>
        <v>0.78059348169701592</v>
      </c>
      <c r="N76" s="53">
        <f t="shared" si="20"/>
        <v>-2.5357757411906379</v>
      </c>
      <c r="O76" s="53">
        <f t="shared" si="21"/>
        <v>7.3387914845211011E-2</v>
      </c>
      <c r="P76" s="54">
        <f t="shared" si="22"/>
        <v>0</v>
      </c>
      <c r="Q76" s="54">
        <f t="shared" si="23"/>
        <v>7.3387914845211011E-2</v>
      </c>
      <c r="R76" s="55">
        <f t="shared" si="24"/>
        <v>5.3857860453279428E-3</v>
      </c>
      <c r="T76" s="31">
        <f t="shared" si="25"/>
        <v>9.981068875317781E-3</v>
      </c>
      <c r="U76" s="31">
        <f t="shared" si="26"/>
        <v>4.9905344376588903E-2</v>
      </c>
      <c r="V76" s="31">
        <f t="shared" si="27"/>
        <v>3.2937527288548672E-2</v>
      </c>
      <c r="W76" s="31">
        <f t="shared" si="28"/>
        <v>1.3973496425444893E-2</v>
      </c>
      <c r="X76" s="31">
        <f t="shared" si="29"/>
        <v>1.9962137750635565E-3</v>
      </c>
    </row>
    <row r="77" spans="1:24" ht="14.25" customHeight="1" thickBot="1" x14ac:dyDescent="0.35">
      <c r="A77" s="62"/>
      <c r="B77" s="51">
        <v>11</v>
      </c>
      <c r="C77" s="58">
        <v>5.5</v>
      </c>
      <c r="D77" s="59">
        <v>2.6</v>
      </c>
      <c r="E77" s="59">
        <v>4.4000000000000004</v>
      </c>
      <c r="F77" s="59">
        <v>1.2</v>
      </c>
      <c r="G77" s="60">
        <v>1</v>
      </c>
      <c r="H77" s="61"/>
      <c r="I77" s="51">
        <f>I76-K4*T76</f>
        <v>0.27404894463795082</v>
      </c>
      <c r="J77" s="52">
        <f>J76-K4*U76</f>
        <v>-0.6678486161468481</v>
      </c>
      <c r="K77" s="52">
        <f>K76-K4*V76</f>
        <v>-0.33973540705786348</v>
      </c>
      <c r="L77" s="52">
        <f>L76-K4*W76</f>
        <v>1.0397500637689918</v>
      </c>
      <c r="M77" s="52">
        <f>M76-K4*X76</f>
        <v>0.78039386031950952</v>
      </c>
      <c r="N77" s="53">
        <f t="shared" si="20"/>
        <v>1.2289424104468167</v>
      </c>
      <c r="O77" s="53">
        <f t="shared" si="21"/>
        <v>0.77363341776055228</v>
      </c>
      <c r="P77" s="54">
        <f t="shared" si="22"/>
        <v>1</v>
      </c>
      <c r="Q77" s="54">
        <f t="shared" si="23"/>
        <v>-0.22636658223944772</v>
      </c>
      <c r="R77" s="55">
        <f t="shared" si="24"/>
        <v>5.124182955476865E-2</v>
      </c>
      <c r="T77" s="31">
        <f t="shared" si="25"/>
        <v>-7.9284783461518696E-2</v>
      </c>
      <c r="U77" s="31">
        <f t="shared" si="26"/>
        <v>-0.43606630903835281</v>
      </c>
      <c r="V77" s="31">
        <f t="shared" si="27"/>
        <v>-0.20614043699994861</v>
      </c>
      <c r="W77" s="31">
        <f t="shared" si="28"/>
        <v>-0.34885304723068228</v>
      </c>
      <c r="X77" s="31">
        <f t="shared" si="29"/>
        <v>-9.5141740153822429E-2</v>
      </c>
    </row>
    <row r="78" spans="1:24" ht="14.25" customHeight="1" thickBot="1" x14ac:dyDescent="0.35">
      <c r="A78" s="62"/>
      <c r="B78" s="51">
        <v>12</v>
      </c>
      <c r="C78" s="58">
        <v>6.1</v>
      </c>
      <c r="D78" s="59">
        <v>3</v>
      </c>
      <c r="E78" s="59">
        <v>4.5999999999999996</v>
      </c>
      <c r="F78" s="59">
        <v>1.4</v>
      </c>
      <c r="G78" s="60">
        <v>1</v>
      </c>
      <c r="H78" s="61"/>
      <c r="I78" s="51">
        <f>I77-K4*T77</f>
        <v>0.28197742298410267</v>
      </c>
      <c r="J78" s="52">
        <f>J77-K4*U77</f>
        <v>-0.62424198524301278</v>
      </c>
      <c r="K78" s="52">
        <f>K77-K4*V77</f>
        <v>-0.31912136335786861</v>
      </c>
      <c r="L78" s="52">
        <f>L77-K4*W77</f>
        <v>1.07463536849206</v>
      </c>
      <c r="M78" s="52">
        <f>M77-K4*X77</f>
        <v>0.78990803433489176</v>
      </c>
      <c r="N78" s="53">
        <f t="shared" si="20"/>
        <v>1.5659311660604434</v>
      </c>
      <c r="O78" s="53">
        <f t="shared" si="21"/>
        <v>0.8272027899848855</v>
      </c>
      <c r="P78" s="54">
        <f t="shared" si="22"/>
        <v>1</v>
      </c>
      <c r="Q78" s="54">
        <f t="shared" si="23"/>
        <v>-0.1727972100151145</v>
      </c>
      <c r="R78" s="55">
        <f t="shared" si="24"/>
        <v>2.9858875789007588E-2</v>
      </c>
      <c r="T78" s="31">
        <f t="shared" si="25"/>
        <v>-4.9398690716958453E-2</v>
      </c>
      <c r="U78" s="31">
        <f t="shared" si="26"/>
        <v>-0.30133201337344656</v>
      </c>
      <c r="V78" s="31">
        <f t="shared" si="27"/>
        <v>-0.14819607215087535</v>
      </c>
      <c r="W78" s="31">
        <f t="shared" si="28"/>
        <v>-0.22723397729800887</v>
      </c>
      <c r="X78" s="31">
        <f t="shared" si="29"/>
        <v>-6.9158167003741833E-2</v>
      </c>
    </row>
    <row r="79" spans="1:24" ht="14.25" customHeight="1" thickBot="1" x14ac:dyDescent="0.35">
      <c r="A79" s="62"/>
      <c r="B79" s="51">
        <v>13</v>
      </c>
      <c r="C79" s="58">
        <v>5.8</v>
      </c>
      <c r="D79" s="59">
        <v>2.6</v>
      </c>
      <c r="E79" s="59">
        <v>4</v>
      </c>
      <c r="F79" s="59">
        <v>1.2</v>
      </c>
      <c r="G79" s="60">
        <v>1</v>
      </c>
      <c r="H79" s="61"/>
      <c r="I79" s="51">
        <f>I78-K4*T78</f>
        <v>0.28691729205579852</v>
      </c>
      <c r="J79" s="52">
        <f>J78-K4*U78</f>
        <v>-0.59410878390566813</v>
      </c>
      <c r="K79" s="52">
        <f>K78-K4*V78</f>
        <v>-0.3043017561427811</v>
      </c>
      <c r="L79" s="52">
        <f>L78-K4*W78</f>
        <v>1.0973587662218609</v>
      </c>
      <c r="M79" s="52">
        <f>M78-K4*X78</f>
        <v>0.79682385103526598</v>
      </c>
      <c r="N79" s="53">
        <f t="shared" si="20"/>
        <v>1.3955254655614555</v>
      </c>
      <c r="O79" s="53">
        <f t="shared" si="21"/>
        <v>0.80147288733847843</v>
      </c>
      <c r="P79" s="54">
        <f t="shared" si="22"/>
        <v>1</v>
      </c>
      <c r="Q79" s="54">
        <f t="shared" si="23"/>
        <v>-0.19852711266152157</v>
      </c>
      <c r="R79" s="55">
        <f t="shared" si="24"/>
        <v>3.9413014461720478E-2</v>
      </c>
      <c r="T79" s="31">
        <f t="shared" si="25"/>
        <v>-6.3176924998696635E-2</v>
      </c>
      <c r="U79" s="31">
        <f t="shared" si="26"/>
        <v>-0.36642616499244046</v>
      </c>
      <c r="V79" s="31">
        <f t="shared" si="27"/>
        <v>-0.16426000499661125</v>
      </c>
      <c r="W79" s="31">
        <f t="shared" si="28"/>
        <v>-0.25270769999478654</v>
      </c>
      <c r="X79" s="31">
        <f t="shared" si="29"/>
        <v>-7.5812309998435953E-2</v>
      </c>
    </row>
    <row r="80" spans="1:24" ht="14.25" customHeight="1" thickBot="1" x14ac:dyDescent="0.35">
      <c r="A80" s="62"/>
      <c r="B80" s="51">
        <v>14</v>
      </c>
      <c r="C80" s="58">
        <v>5</v>
      </c>
      <c r="D80" s="59">
        <v>2.2999999999999998</v>
      </c>
      <c r="E80" s="59">
        <v>3.3</v>
      </c>
      <c r="F80" s="59">
        <v>1</v>
      </c>
      <c r="G80" s="60">
        <v>1</v>
      </c>
      <c r="H80" s="61"/>
      <c r="I80" s="51">
        <f>I79-K4*T79</f>
        <v>0.29323498455566821</v>
      </c>
      <c r="J80" s="52">
        <f>J79-K4*U79</f>
        <v>-0.55746616740642407</v>
      </c>
      <c r="K80" s="52">
        <f>K79-K4*V79</f>
        <v>-0.28787575564311996</v>
      </c>
      <c r="L80" s="52">
        <f>L79-K4*W79</f>
        <v>1.1226295362213397</v>
      </c>
      <c r="M80" s="52">
        <f>M79-K4*X79</f>
        <v>0.80440508203510963</v>
      </c>
      <c r="N80" s="53">
        <f t="shared" si="20"/>
        <v>1.3528724611099021</v>
      </c>
      <c r="O80" s="53">
        <f t="shared" si="21"/>
        <v>0.79459884368532174</v>
      </c>
      <c r="P80" s="54">
        <f t="shared" si="22"/>
        <v>1</v>
      </c>
      <c r="Q80" s="54">
        <f t="shared" si="23"/>
        <v>-0.20540115631467826</v>
      </c>
      <c r="R80" s="55">
        <f t="shared" si="24"/>
        <v>4.2189635015406894E-2</v>
      </c>
      <c r="T80" s="31">
        <f t="shared" si="25"/>
        <v>-6.7047670397496165E-2</v>
      </c>
      <c r="U80" s="31">
        <f t="shared" si="26"/>
        <v>-0.33523835198748081</v>
      </c>
      <c r="V80" s="31">
        <f t="shared" si="27"/>
        <v>-0.15420964191424116</v>
      </c>
      <c r="W80" s="31">
        <f t="shared" si="28"/>
        <v>-0.22125731231173734</v>
      </c>
      <c r="X80" s="31">
        <f t="shared" si="29"/>
        <v>-6.7047670397496165E-2</v>
      </c>
    </row>
    <row r="81" spans="1:24" ht="14.25" customHeight="1" thickBot="1" x14ac:dyDescent="0.35">
      <c r="A81" s="62"/>
      <c r="B81" s="51">
        <v>15</v>
      </c>
      <c r="C81" s="58">
        <v>5.6</v>
      </c>
      <c r="D81" s="59">
        <v>2.7</v>
      </c>
      <c r="E81" s="59">
        <v>4.2</v>
      </c>
      <c r="F81" s="59">
        <v>1.3</v>
      </c>
      <c r="G81" s="60">
        <v>1</v>
      </c>
      <c r="H81" s="61"/>
      <c r="I81" s="51">
        <f>I80-K4*T80</f>
        <v>0.2999397515954178</v>
      </c>
      <c r="J81" s="52">
        <f>J80-K4*U80</f>
        <v>-0.52394233220767594</v>
      </c>
      <c r="K81" s="52">
        <f>K80-K4*V80</f>
        <v>-0.27245479145169582</v>
      </c>
      <c r="L81" s="52">
        <f>L80-K4*W80</f>
        <v>1.1447552674525134</v>
      </c>
      <c r="M81" s="52">
        <f>M80-K4*X80</f>
        <v>0.81110984907485928</v>
      </c>
      <c r="N81" s="53">
        <f t="shared" si="20"/>
        <v>2.4926496814107275</v>
      </c>
      <c r="O81" s="53">
        <f t="shared" si="21"/>
        <v>0.92362492619862779</v>
      </c>
      <c r="P81" s="54">
        <f t="shared" si="22"/>
        <v>1</v>
      </c>
      <c r="Q81" s="54">
        <f t="shared" si="23"/>
        <v>-7.6375073801372206E-2</v>
      </c>
      <c r="R81" s="55">
        <f t="shared" si="24"/>
        <v>5.833151898165051E-3</v>
      </c>
      <c r="T81" s="31">
        <f t="shared" si="25"/>
        <v>-1.0775288982896161E-2</v>
      </c>
      <c r="U81" s="31">
        <f t="shared" si="26"/>
        <v>-6.0341618304218497E-2</v>
      </c>
      <c r="V81" s="31">
        <f t="shared" si="27"/>
        <v>-2.9093280253819638E-2</v>
      </c>
      <c r="W81" s="31">
        <f t="shared" si="28"/>
        <v>-4.525621372816388E-2</v>
      </c>
      <c r="X81" s="31">
        <f t="shared" si="29"/>
        <v>-1.400787567776501E-2</v>
      </c>
    </row>
    <row r="82" spans="1:24" ht="14.25" customHeight="1" thickBot="1" x14ac:dyDescent="0.35">
      <c r="A82" s="62"/>
      <c r="B82" s="51">
        <v>16</v>
      </c>
      <c r="C82" s="58">
        <v>5.7</v>
      </c>
      <c r="D82" s="59">
        <v>3</v>
      </c>
      <c r="E82" s="59">
        <v>4.2</v>
      </c>
      <c r="F82" s="59">
        <v>1.2</v>
      </c>
      <c r="G82" s="60">
        <v>1</v>
      </c>
      <c r="H82" s="61"/>
      <c r="I82" s="51">
        <f>I81-K4*T81</f>
        <v>0.30101728049370741</v>
      </c>
      <c r="J82" s="52">
        <f>J81-K4*U81</f>
        <v>-0.51790817037725412</v>
      </c>
      <c r="K82" s="52">
        <f>K81-K4*V81</f>
        <v>-0.26954546342631386</v>
      </c>
      <c r="L82" s="52">
        <f>L81-K4*W81</f>
        <v>1.1492808888253299</v>
      </c>
      <c r="M82" s="52">
        <f>M81-K4*X81</f>
        <v>0.81251063664263579</v>
      </c>
      <c r="N82" s="53">
        <f t="shared" si="20"/>
        <v>2.3422968161019657</v>
      </c>
      <c r="O82" s="53">
        <f t="shared" si="21"/>
        <v>0.91231998668748338</v>
      </c>
      <c r="P82" s="54">
        <f t="shared" si="22"/>
        <v>1</v>
      </c>
      <c r="Q82" s="54">
        <f t="shared" si="23"/>
        <v>-8.7680013312516625E-2</v>
      </c>
      <c r="R82" s="55">
        <f t="shared" si="24"/>
        <v>7.6877847344830929E-3</v>
      </c>
      <c r="T82" s="31">
        <f t="shared" si="25"/>
        <v>-1.4027439333239706E-2</v>
      </c>
      <c r="U82" s="31">
        <f t="shared" si="26"/>
        <v>-7.9956404199466327E-2</v>
      </c>
      <c r="V82" s="31">
        <f t="shared" si="27"/>
        <v>-4.2082317999719121E-2</v>
      </c>
      <c r="W82" s="31">
        <f t="shared" si="28"/>
        <v>-5.8915245199606767E-2</v>
      </c>
      <c r="X82" s="31">
        <f t="shared" si="29"/>
        <v>-1.6832927199887646E-2</v>
      </c>
    </row>
    <row r="83" spans="1:24" ht="14.25" customHeight="1" thickBot="1" x14ac:dyDescent="0.35">
      <c r="A83" s="62"/>
      <c r="B83" s="51">
        <v>17</v>
      </c>
      <c r="C83" s="58">
        <v>5.7</v>
      </c>
      <c r="D83" s="59">
        <v>2.9</v>
      </c>
      <c r="E83" s="59">
        <v>4.2</v>
      </c>
      <c r="F83" s="59">
        <v>1.3</v>
      </c>
      <c r="G83" s="60">
        <v>1</v>
      </c>
      <c r="H83" s="61"/>
      <c r="I83" s="51">
        <f>I82-K4*T82</f>
        <v>0.30242002442703136</v>
      </c>
      <c r="J83" s="52">
        <f>J82-K4*U82</f>
        <v>-0.50991252995730751</v>
      </c>
      <c r="K83" s="52">
        <f>K82-K4*V82</f>
        <v>-0.26533723162634193</v>
      </c>
      <c r="L83" s="52">
        <f>L82-K4*W82</f>
        <v>1.1551724133452905</v>
      </c>
      <c r="M83" s="52">
        <f>M82-K4*X82</f>
        <v>0.81419392936262458</v>
      </c>
      <c r="N83" s="53">
        <f t="shared" si="20"/>
        <v>2.5366168761756196</v>
      </c>
      <c r="O83" s="53">
        <f t="shared" si="21"/>
        <v>0.92666926360318447</v>
      </c>
      <c r="P83" s="54">
        <f t="shared" si="22"/>
        <v>1</v>
      </c>
      <c r="Q83" s="54">
        <f t="shared" si="23"/>
        <v>-7.3330736396815532E-2</v>
      </c>
      <c r="R83" s="55">
        <f t="shared" si="24"/>
        <v>5.3773969004992459E-3</v>
      </c>
      <c r="T83" s="31">
        <f t="shared" si="25"/>
        <v>-9.966136851775366E-3</v>
      </c>
      <c r="U83" s="31">
        <f t="shared" si="26"/>
        <v>-5.6806980055119589E-2</v>
      </c>
      <c r="V83" s="31">
        <f t="shared" si="27"/>
        <v>-2.8901796870148561E-2</v>
      </c>
      <c r="W83" s="31">
        <f t="shared" si="28"/>
        <v>-4.1857774777456537E-2</v>
      </c>
      <c r="X83" s="31">
        <f t="shared" si="29"/>
        <v>-1.2955977907307976E-2</v>
      </c>
    </row>
    <row r="84" spans="1:24" ht="14.25" customHeight="1" thickBot="1" x14ac:dyDescent="0.35">
      <c r="A84" s="62"/>
      <c r="B84" s="51">
        <v>18</v>
      </c>
      <c r="C84" s="58">
        <v>6.2</v>
      </c>
      <c r="D84" s="59">
        <v>2.9</v>
      </c>
      <c r="E84" s="59">
        <v>4.3</v>
      </c>
      <c r="F84" s="59">
        <v>1.3</v>
      </c>
      <c r="G84" s="60">
        <v>1</v>
      </c>
      <c r="H84" s="61"/>
      <c r="I84" s="51">
        <f>I83-K4*T83</f>
        <v>0.30341663811220893</v>
      </c>
      <c r="J84" s="52">
        <f>J83-K4*U83</f>
        <v>-0.50423183195179555</v>
      </c>
      <c r="K84" s="52">
        <f>K83-K4*V83</f>
        <v>-0.26244705193932705</v>
      </c>
      <c r="L84" s="52">
        <f>L83-K4*W83</f>
        <v>1.1593581908230361</v>
      </c>
      <c r="M84" s="52">
        <f>M83-K4*X83</f>
        <v>0.81548952715335543</v>
      </c>
      <c r="N84" s="53">
        <f t="shared" si="20"/>
        <v>2.4614594352254455</v>
      </c>
      <c r="O84" s="53">
        <f t="shared" si="21"/>
        <v>0.92139542875559544</v>
      </c>
      <c r="P84" s="54">
        <f t="shared" si="22"/>
        <v>1</v>
      </c>
      <c r="Q84" s="54">
        <f t="shared" si="23"/>
        <v>-7.8604571244404564E-2</v>
      </c>
      <c r="R84" s="55">
        <f t="shared" si="24"/>
        <v>6.1786786205166727E-3</v>
      </c>
      <c r="T84" s="31">
        <f t="shared" si="25"/>
        <v>-1.1386012473387981E-2</v>
      </c>
      <c r="U84" s="31">
        <f t="shared" si="26"/>
        <v>-7.0593277335005478E-2</v>
      </c>
      <c r="V84" s="31">
        <f t="shared" si="27"/>
        <v>-3.3019436172825142E-2</v>
      </c>
      <c r="W84" s="31">
        <f t="shared" si="28"/>
        <v>-4.8959853635568318E-2</v>
      </c>
      <c r="X84" s="31">
        <f t="shared" si="29"/>
        <v>-1.4801816215404376E-2</v>
      </c>
    </row>
    <row r="85" spans="1:24" ht="14.25" customHeight="1" thickBot="1" x14ac:dyDescent="0.35">
      <c r="A85" s="62"/>
      <c r="B85" s="51">
        <v>19</v>
      </c>
      <c r="C85" s="58">
        <v>5.0999999999999996</v>
      </c>
      <c r="D85" s="59">
        <v>2.5</v>
      </c>
      <c r="E85" s="59">
        <v>3</v>
      </c>
      <c r="F85" s="59">
        <v>1.1000000000000001</v>
      </c>
      <c r="G85" s="60">
        <v>1</v>
      </c>
      <c r="H85" s="61"/>
      <c r="I85" s="51">
        <f>I84-K4*T84</f>
        <v>0.3045552393595477</v>
      </c>
      <c r="J85" s="52">
        <f>J84-K4*U84</f>
        <v>-0.49717250421829501</v>
      </c>
      <c r="K85" s="52">
        <f>K84-K4*V84</f>
        <v>-0.25914510832204452</v>
      </c>
      <c r="L85" s="52">
        <f>L84-K4*W84</f>
        <v>1.164254176186593</v>
      </c>
      <c r="M85" s="52">
        <f>M84-K4*X84</f>
        <v>0.81696970877489583</v>
      </c>
      <c r="N85" s="53">
        <f t="shared" si="20"/>
        <v>1.5125419052532969</v>
      </c>
      <c r="O85" s="53">
        <f t="shared" si="21"/>
        <v>0.81943761159414485</v>
      </c>
      <c r="P85" s="54">
        <f t="shared" si="22"/>
        <v>1</v>
      </c>
      <c r="Q85" s="54">
        <f t="shared" si="23"/>
        <v>-0.18056238840585515</v>
      </c>
      <c r="R85" s="55">
        <f t="shared" si="24"/>
        <v>3.2602776106826895E-2</v>
      </c>
      <c r="T85" s="31">
        <f t="shared" si="25"/>
        <v>-5.3431881968633764E-2</v>
      </c>
      <c r="U85" s="31">
        <f t="shared" si="26"/>
        <v>-0.27250259804003218</v>
      </c>
      <c r="V85" s="31">
        <f t="shared" si="27"/>
        <v>-0.13357970492158441</v>
      </c>
      <c r="W85" s="31">
        <f t="shared" si="28"/>
        <v>-0.16029564590590129</v>
      </c>
      <c r="X85" s="31">
        <f t="shared" si="29"/>
        <v>-5.8775070165497142E-2</v>
      </c>
    </row>
    <row r="86" spans="1:24" ht="14.25" customHeight="1" thickBot="1" x14ac:dyDescent="0.35">
      <c r="A86" s="63"/>
      <c r="B86" s="51">
        <v>20</v>
      </c>
      <c r="C86" s="58">
        <v>5.7</v>
      </c>
      <c r="D86" s="59">
        <v>2.8</v>
      </c>
      <c r="E86" s="59">
        <v>4.0999999999999996</v>
      </c>
      <c r="F86" s="59">
        <v>1.3</v>
      </c>
      <c r="G86" s="60">
        <v>1</v>
      </c>
      <c r="H86" s="55">
        <f>SUMPRODUCT(--(P67:P86=G67:G86))/20</f>
        <v>1</v>
      </c>
      <c r="I86" s="51">
        <f>I85-K4*T85</f>
        <v>0.30989842755641106</v>
      </c>
      <c r="J86" s="52">
        <f>J85-K4*U85</f>
        <v>-0.46992224441429181</v>
      </c>
      <c r="K86" s="52">
        <f>K85-K4*V85</f>
        <v>-0.24578713782988607</v>
      </c>
      <c r="L86" s="52">
        <f>L85-K4*W85</f>
        <v>1.1802837407771831</v>
      </c>
      <c r="M86" s="52">
        <f>M85-K4*X85</f>
        <v>0.8228472157914456</v>
      </c>
      <c r="N86" s="53">
        <f t="shared" si="20"/>
        <v>2.8520023661865963</v>
      </c>
      <c r="O86" s="53">
        <f t="shared" si="21"/>
        <v>0.94542209539012823</v>
      </c>
      <c r="P86" s="54">
        <f t="shared" si="22"/>
        <v>1</v>
      </c>
      <c r="Q86" s="54">
        <f t="shared" si="23"/>
        <v>-5.4577904609871775E-2</v>
      </c>
      <c r="R86" s="55">
        <f t="shared" si="24"/>
        <v>2.9787476716042626E-3</v>
      </c>
      <c r="S86" s="55">
        <f>AVERAGE(R67:R86)</f>
        <v>3.291811854211453E-2</v>
      </c>
      <c r="T86" s="31">
        <f t="shared" si="25"/>
        <v>-5.6323477306531346E-3</v>
      </c>
      <c r="U86" s="31">
        <f t="shared" si="26"/>
        <v>-3.2104382064722867E-2</v>
      </c>
      <c r="V86" s="31">
        <f t="shared" si="27"/>
        <v>-1.5770573645828775E-2</v>
      </c>
      <c r="W86" s="31">
        <f t="shared" si="28"/>
        <v>-2.3092625695677851E-2</v>
      </c>
      <c r="X86" s="31">
        <f t="shared" si="29"/>
        <v>-7.3220520498490753E-3</v>
      </c>
    </row>
    <row r="87" spans="1:24" ht="14.25" customHeight="1" thickBot="1" x14ac:dyDescent="0.35">
      <c r="A87" s="42" t="s">
        <v>38</v>
      </c>
      <c r="B87" s="38">
        <v>1</v>
      </c>
      <c r="C87" s="10">
        <v>5</v>
      </c>
      <c r="D87" s="11">
        <v>3.5</v>
      </c>
      <c r="E87" s="11">
        <v>1.3</v>
      </c>
      <c r="F87" s="11">
        <v>0.3</v>
      </c>
      <c r="G87" s="41">
        <v>0</v>
      </c>
      <c r="I87" s="38">
        <f>'SLP-Training'!I404-'SLP-Training'!$K$2*'SLP-Training'!T404</f>
        <v>0.31047576545108418</v>
      </c>
      <c r="J87" s="40">
        <f>'SLP-Training'!J404-'SLP-Training'!$K$2*'SLP-Training'!U404</f>
        <v>-0.41612291588201777</v>
      </c>
      <c r="K87" s="40">
        <f>'SLP-Training'!K404-'SLP-Training'!$K$2*'SLP-Training'!V404</f>
        <v>-0.24620037514593826</v>
      </c>
      <c r="L87" s="40">
        <f>'SLP-Training'!L404-'SLP-Training'!$K$2*'SLP-Training'!W404</f>
        <v>1.241032447192997</v>
      </c>
      <c r="M87" s="40">
        <f>'SLP-Training'!M404-'SLP-Training'!$K$2*'SLP-Training'!X404</f>
        <v>0.85161227623068103</v>
      </c>
      <c r="N87" s="35">
        <f t="shared" ref="N87:N106" si="30">I87+J87*C87+K87*D87+L87*E87+F87*M87</f>
        <v>-0.76301426274968842</v>
      </c>
      <c r="O87" s="35">
        <f t="shared" ref="O87:O106" si="31">1/(1+EXP(-N87))</f>
        <v>0.31799219518564414</v>
      </c>
      <c r="P87" s="36">
        <f t="shared" ref="P87:P106" si="32">IF(O87&gt;0.5,1,0)</f>
        <v>0</v>
      </c>
      <c r="Q87" s="36">
        <f t="shared" ref="Q87:Q106" si="33">O87-G87</f>
        <v>0.31799219518564414</v>
      </c>
      <c r="R87" s="37">
        <f t="shared" ref="R87:R106" si="34">Q87^2</f>
        <v>0.1011190361989848</v>
      </c>
      <c r="T87" s="31">
        <f t="shared" ref="T87:T106" si="35">2*(O87-G87)*(1-O87)*O87</f>
        <v>0.13792794380602602</v>
      </c>
      <c r="U87" s="31">
        <f t="shared" ref="U87:U106" si="36">2*(O87-G87)*(1-O87)*O87*C87</f>
        <v>0.68963971903013011</v>
      </c>
      <c r="V87" s="31">
        <f t="shared" ref="V87:V106" si="37">2*(O87-G87)*(1-O87)*O87*D87</f>
        <v>0.48274780332109107</v>
      </c>
      <c r="W87" s="31">
        <f t="shared" ref="W87:W106" si="38">2*(O87-G87)*(1-O87)*O87*E87</f>
        <v>0.17930632694783383</v>
      </c>
      <c r="X87" s="31">
        <f t="shared" ref="X87:X106" si="39">2*(O87-G87)*(1-O87)*O87*F87</f>
        <v>4.1378383141807806E-2</v>
      </c>
    </row>
    <row r="88" spans="1:24" ht="14.25" customHeight="1" thickBot="1" x14ac:dyDescent="0.35">
      <c r="A88" s="43"/>
      <c r="B88" s="38">
        <v>2</v>
      </c>
      <c r="C88" s="10">
        <v>4.5</v>
      </c>
      <c r="D88" s="11">
        <v>2.2999999999999998</v>
      </c>
      <c r="E88" s="11">
        <v>1.3</v>
      </c>
      <c r="F88" s="11">
        <v>0.3</v>
      </c>
      <c r="G88" s="41">
        <v>0</v>
      </c>
      <c r="I88" s="38">
        <f>I87-K4*T87</f>
        <v>0.29668297107048158</v>
      </c>
      <c r="J88" s="40">
        <f>J87-K4*U87</f>
        <v>-0.48508688778503078</v>
      </c>
      <c r="K88" s="40">
        <f>K87-K4*V87</f>
        <v>-0.29447515547804737</v>
      </c>
      <c r="L88" s="40">
        <f>L87-K4*W87</f>
        <v>1.2231018144982135</v>
      </c>
      <c r="M88" s="40">
        <f>M87-K4*X87</f>
        <v>0.84747443791650023</v>
      </c>
      <c r="N88" s="35">
        <f t="shared" si="30"/>
        <v>-0.71922619133903809</v>
      </c>
      <c r="O88" s="35">
        <f t="shared" si="31"/>
        <v>0.32756340362865027</v>
      </c>
      <c r="P88" s="36">
        <f t="shared" si="32"/>
        <v>0</v>
      </c>
      <c r="Q88" s="36">
        <f t="shared" si="33"/>
        <v>0.32756340362865027</v>
      </c>
      <c r="R88" s="37">
        <f t="shared" si="34"/>
        <v>0.10729778339678606</v>
      </c>
      <c r="T88" s="31">
        <f t="shared" si="35"/>
        <v>0.14430191253105026</v>
      </c>
      <c r="U88" s="31">
        <f t="shared" si="36"/>
        <v>0.6493586063897262</v>
      </c>
      <c r="V88" s="31">
        <f t="shared" si="37"/>
        <v>0.33189439882141558</v>
      </c>
      <c r="W88" s="31">
        <f t="shared" si="38"/>
        <v>0.18759248629036535</v>
      </c>
      <c r="X88" s="31">
        <f t="shared" si="39"/>
        <v>4.3290573759315075E-2</v>
      </c>
    </row>
    <row r="89" spans="1:24" ht="14.25" customHeight="1" thickBot="1" x14ac:dyDescent="0.35">
      <c r="A89" s="43"/>
      <c r="B89" s="38">
        <v>3</v>
      </c>
      <c r="C89" s="10">
        <v>4.4000000000000004</v>
      </c>
      <c r="D89" s="11">
        <v>3.2</v>
      </c>
      <c r="E89" s="11">
        <v>1.3</v>
      </c>
      <c r="F89" s="11">
        <v>0.2</v>
      </c>
      <c r="G89" s="41">
        <v>0</v>
      </c>
      <c r="I89" s="38">
        <f>I88-K4*T88</f>
        <v>0.28225277981737656</v>
      </c>
      <c r="J89" s="40">
        <f>J88-K4*U88</f>
        <v>-0.55002274842400345</v>
      </c>
      <c r="K89" s="40">
        <f>K88-K4*V88</f>
        <v>-0.32766459536018894</v>
      </c>
      <c r="L89" s="40">
        <f>L88-K4*W88</f>
        <v>1.2043425658691771</v>
      </c>
      <c r="M89" s="40">
        <f>M88-K4*X88</f>
        <v>0.84314538054056876</v>
      </c>
      <c r="N89" s="35">
        <f t="shared" si="30"/>
        <v>-1.4520996066627994</v>
      </c>
      <c r="O89" s="35">
        <f t="shared" si="31"/>
        <v>0.18967864481123917</v>
      </c>
      <c r="P89" s="36">
        <f t="shared" si="32"/>
        <v>0</v>
      </c>
      <c r="Q89" s="36">
        <f t="shared" si="33"/>
        <v>0.18967864481123917</v>
      </c>
      <c r="R89" s="37">
        <f t="shared" si="34"/>
        <v>3.5977988297428223E-2</v>
      </c>
      <c r="T89" s="31">
        <f t="shared" si="35"/>
        <v>5.8307464468274832E-2</v>
      </c>
      <c r="U89" s="31">
        <f t="shared" si="36"/>
        <v>0.25655284366040926</v>
      </c>
      <c r="V89" s="31">
        <f t="shared" si="37"/>
        <v>0.18658388629847947</v>
      </c>
      <c r="W89" s="31">
        <f t="shared" si="38"/>
        <v>7.5799703808757279E-2</v>
      </c>
      <c r="X89" s="31">
        <f t="shared" si="39"/>
        <v>1.1661492893654967E-2</v>
      </c>
    </row>
    <row r="90" spans="1:24" ht="14.25" customHeight="1" thickBot="1" x14ac:dyDescent="0.35">
      <c r="A90" s="43"/>
      <c r="B90" s="38">
        <v>4</v>
      </c>
      <c r="C90" s="10">
        <v>5</v>
      </c>
      <c r="D90" s="11">
        <v>3.5</v>
      </c>
      <c r="E90" s="11">
        <v>1.6</v>
      </c>
      <c r="F90" s="11">
        <v>0.6</v>
      </c>
      <c r="G90" s="41">
        <v>0</v>
      </c>
      <c r="I90" s="38">
        <f>I89-K4*T89</f>
        <v>0.2764220333705491</v>
      </c>
      <c r="J90" s="40">
        <f>J89-K4*U89</f>
        <v>-0.57567803279004437</v>
      </c>
      <c r="K90" s="40">
        <f>K89-K4*V89</f>
        <v>-0.34632298399003686</v>
      </c>
      <c r="L90" s="40">
        <f>L89-K4*W89</f>
        <v>1.1967625954883014</v>
      </c>
      <c r="M90" s="40">
        <f>M89-K4*X89</f>
        <v>0.84197923125120322</v>
      </c>
      <c r="N90" s="35">
        <f t="shared" si="30"/>
        <v>-1.3940908830127972</v>
      </c>
      <c r="O90" s="35">
        <f t="shared" si="31"/>
        <v>0.1987554736942278</v>
      </c>
      <c r="P90" s="36">
        <f t="shared" si="32"/>
        <v>0</v>
      </c>
      <c r="Q90" s="36">
        <f t="shared" si="33"/>
        <v>0.1987554736942278</v>
      </c>
      <c r="R90" s="37">
        <f t="shared" si="34"/>
        <v>3.950373832341688E-2</v>
      </c>
      <c r="T90" s="31">
        <f t="shared" si="35"/>
        <v>6.330430820050667E-2</v>
      </c>
      <c r="U90" s="31">
        <f t="shared" si="36"/>
        <v>0.31652154100253338</v>
      </c>
      <c r="V90" s="31">
        <f t="shared" si="37"/>
        <v>0.22156507870177333</v>
      </c>
      <c r="W90" s="31">
        <f t="shared" si="38"/>
        <v>0.10128689312081068</v>
      </c>
      <c r="X90" s="31">
        <f t="shared" si="39"/>
        <v>3.7982584920303999E-2</v>
      </c>
    </row>
    <row r="91" spans="1:24" ht="14.25" customHeight="1" thickBot="1" x14ac:dyDescent="0.35">
      <c r="A91" s="43"/>
      <c r="B91" s="38">
        <v>5</v>
      </c>
      <c r="C91" s="10">
        <v>5.0999999999999996</v>
      </c>
      <c r="D91" s="11">
        <v>3.8</v>
      </c>
      <c r="E91" s="11">
        <v>1.9</v>
      </c>
      <c r="F91" s="11">
        <v>0.4</v>
      </c>
      <c r="G91" s="41">
        <v>0</v>
      </c>
      <c r="I91" s="38">
        <f>I90-K4*T90</f>
        <v>0.27009160255049841</v>
      </c>
      <c r="J91" s="40">
        <f>J90-K4*U90</f>
        <v>-0.60733018689029772</v>
      </c>
      <c r="K91" s="40">
        <f>K90-K4*V90</f>
        <v>-0.36847949186021417</v>
      </c>
      <c r="L91" s="40">
        <f>L90-K4*W90</f>
        <v>1.1866339061762203</v>
      </c>
      <c r="M91" s="40">
        <f>M90-K4*X90</f>
        <v>0.8381809727591728</v>
      </c>
      <c r="N91" s="35">
        <f t="shared" si="30"/>
        <v>-1.6376376088203464</v>
      </c>
      <c r="O91" s="35">
        <f t="shared" si="31"/>
        <v>0.16278676991717225</v>
      </c>
      <c r="P91" s="36">
        <f t="shared" si="32"/>
        <v>0</v>
      </c>
      <c r="Q91" s="36">
        <f t="shared" si="33"/>
        <v>0.16278676991717225</v>
      </c>
      <c r="R91" s="37">
        <f t="shared" si="34"/>
        <v>2.6499532460066377E-2</v>
      </c>
      <c r="T91" s="31">
        <f t="shared" si="35"/>
        <v>4.437151833315383E-2</v>
      </c>
      <c r="U91" s="31">
        <f t="shared" si="36"/>
        <v>0.22629474349908452</v>
      </c>
      <c r="V91" s="31">
        <f t="shared" si="37"/>
        <v>0.16861176966598454</v>
      </c>
      <c r="W91" s="31">
        <f t="shared" si="38"/>
        <v>8.430588483299227E-2</v>
      </c>
      <c r="X91" s="31">
        <f t="shared" si="39"/>
        <v>1.7748607333261533E-2</v>
      </c>
    </row>
    <row r="92" spans="1:24" ht="14.25" customHeight="1" thickBot="1" x14ac:dyDescent="0.35">
      <c r="A92" s="43"/>
      <c r="B92" s="38">
        <v>6</v>
      </c>
      <c r="C92" s="10">
        <v>4.8</v>
      </c>
      <c r="D92" s="11">
        <v>3</v>
      </c>
      <c r="E92" s="11">
        <v>1.4</v>
      </c>
      <c r="F92" s="11">
        <v>0.3</v>
      </c>
      <c r="G92" s="41">
        <v>0</v>
      </c>
      <c r="I92" s="38">
        <f>I91-K4*T91</f>
        <v>0.26565445071718302</v>
      </c>
      <c r="J92" s="40">
        <f>J91-K4*U91</f>
        <v>-0.62995966124020619</v>
      </c>
      <c r="K92" s="40">
        <f>K91-K4*V91</f>
        <v>-0.38534066882681262</v>
      </c>
      <c r="L92" s="40">
        <f>L91-K4*W91</f>
        <v>1.1782033176929212</v>
      </c>
      <c r="M92" s="40">
        <f>M91-K4*X91</f>
        <v>0.83640611202584669</v>
      </c>
      <c r="N92" s="35">
        <f t="shared" si="30"/>
        <v>-2.013767451338401</v>
      </c>
      <c r="O92" s="35">
        <f t="shared" si="31"/>
        <v>0.11776498917093529</v>
      </c>
      <c r="P92" s="36">
        <f t="shared" si="32"/>
        <v>0</v>
      </c>
      <c r="Q92" s="36">
        <f t="shared" si="33"/>
        <v>0.11776498917093529</v>
      </c>
      <c r="R92" s="37">
        <f t="shared" si="34"/>
        <v>1.3868592674430507E-2</v>
      </c>
      <c r="T92" s="31">
        <f t="shared" si="35"/>
        <v>2.4470716016620174E-2</v>
      </c>
      <c r="U92" s="31">
        <f t="shared" si="36"/>
        <v>0.11745943687977684</v>
      </c>
      <c r="V92" s="31">
        <f t="shared" si="37"/>
        <v>7.3412148049860515E-2</v>
      </c>
      <c r="W92" s="31">
        <f t="shared" si="38"/>
        <v>3.4259002423268244E-2</v>
      </c>
      <c r="X92" s="31">
        <f t="shared" si="39"/>
        <v>7.3412148049860522E-3</v>
      </c>
    </row>
    <row r="93" spans="1:24" ht="14.25" customHeight="1" thickBot="1" x14ac:dyDescent="0.35">
      <c r="A93" s="43"/>
      <c r="B93" s="38">
        <v>7</v>
      </c>
      <c r="C93" s="10">
        <v>5.0999999999999996</v>
      </c>
      <c r="D93" s="11">
        <v>3.8</v>
      </c>
      <c r="E93" s="11">
        <v>1.6</v>
      </c>
      <c r="F93" s="11">
        <v>0.2</v>
      </c>
      <c r="G93" s="41">
        <v>0</v>
      </c>
      <c r="I93" s="38">
        <f>I92-K4*T92</f>
        <v>0.263207379115521</v>
      </c>
      <c r="J93" s="40">
        <f>J92-K4*U92</f>
        <v>-0.64170560492818385</v>
      </c>
      <c r="K93" s="40">
        <f>K92-K4*V92</f>
        <v>-0.39268188363179868</v>
      </c>
      <c r="L93" s="40">
        <f>L92-K4*W92</f>
        <v>1.1747774174505943</v>
      </c>
      <c r="M93" s="40">
        <f>M92-K4*X92</f>
        <v>0.83567199054534813</v>
      </c>
      <c r="N93" s="35">
        <f t="shared" si="30"/>
        <v>-2.4549040977890306</v>
      </c>
      <c r="O93" s="35">
        <f t="shared" si="31"/>
        <v>7.9080660849592033E-2</v>
      </c>
      <c r="P93" s="36">
        <f t="shared" si="32"/>
        <v>0</v>
      </c>
      <c r="Q93" s="36">
        <f t="shared" si="33"/>
        <v>7.9080660849592033E-2</v>
      </c>
      <c r="R93" s="37">
        <f t="shared" si="34"/>
        <v>6.2537509204081982E-3</v>
      </c>
      <c r="T93" s="31">
        <f t="shared" si="35"/>
        <v>1.1518400329667148E-2</v>
      </c>
      <c r="U93" s="31">
        <f t="shared" si="36"/>
        <v>5.874384168130245E-2</v>
      </c>
      <c r="V93" s="31">
        <f t="shared" si="37"/>
        <v>4.3769921252735156E-2</v>
      </c>
      <c r="W93" s="31">
        <f t="shared" si="38"/>
        <v>1.8429440527467436E-2</v>
      </c>
      <c r="X93" s="31">
        <f t="shared" si="39"/>
        <v>2.3036800659334295E-3</v>
      </c>
    </row>
    <row r="94" spans="1:24" ht="14.25" customHeight="1" thickBot="1" x14ac:dyDescent="0.35">
      <c r="A94" s="43"/>
      <c r="B94" s="38">
        <v>8</v>
      </c>
      <c r="C94" s="10">
        <v>4.5999999999999996</v>
      </c>
      <c r="D94" s="11">
        <v>3.2</v>
      </c>
      <c r="E94" s="11">
        <v>1.4</v>
      </c>
      <c r="F94" s="11">
        <v>0.2</v>
      </c>
      <c r="G94" s="41">
        <v>0</v>
      </c>
      <c r="I94" s="38">
        <f>I93-K4*T93</f>
        <v>0.2620555390825543</v>
      </c>
      <c r="J94" s="40">
        <f>J93-K4*U93</f>
        <v>-0.64757998909631409</v>
      </c>
      <c r="K94" s="40">
        <f>K93-K4*V93</f>
        <v>-0.39705887575707222</v>
      </c>
      <c r="L94" s="40">
        <f>L93-K4*W93</f>
        <v>1.1729344733978475</v>
      </c>
      <c r="M94" s="40">
        <f>M93-K4*X93</f>
        <v>0.83544162253875476</v>
      </c>
      <c r="N94" s="35">
        <f t="shared" si="30"/>
        <v>-2.1782042259183836</v>
      </c>
      <c r="O94" s="35">
        <f t="shared" si="31"/>
        <v>0.10172490292982081</v>
      </c>
      <c r="P94" s="36">
        <f t="shared" si="32"/>
        <v>0</v>
      </c>
      <c r="Q94" s="36">
        <f t="shared" si="33"/>
        <v>0.10172490292982081</v>
      </c>
      <c r="R94" s="37">
        <f t="shared" si="34"/>
        <v>1.0347955876081467E-2</v>
      </c>
      <c r="T94" s="31">
        <f t="shared" si="35"/>
        <v>1.8590622138130022E-2</v>
      </c>
      <c r="U94" s="31">
        <f t="shared" si="36"/>
        <v>8.5516861835398097E-2</v>
      </c>
      <c r="V94" s="31">
        <f t="shared" si="37"/>
        <v>5.9489990842016074E-2</v>
      </c>
      <c r="W94" s="31">
        <f t="shared" si="38"/>
        <v>2.602687099338203E-2</v>
      </c>
      <c r="X94" s="31">
        <f t="shared" si="39"/>
        <v>3.7181244276260047E-3</v>
      </c>
    </row>
    <row r="95" spans="1:24" ht="14.25" customHeight="1" thickBot="1" x14ac:dyDescent="0.35">
      <c r="A95" s="43"/>
      <c r="B95" s="38">
        <v>9</v>
      </c>
      <c r="C95" s="10">
        <v>5.3</v>
      </c>
      <c r="D95" s="11">
        <v>3.7</v>
      </c>
      <c r="E95" s="11">
        <v>1.5</v>
      </c>
      <c r="F95" s="11">
        <v>0.2</v>
      </c>
      <c r="G95" s="41">
        <v>0</v>
      </c>
      <c r="I95" s="38">
        <f>I94-K4*T94</f>
        <v>0.26019647686874131</v>
      </c>
      <c r="J95" s="40">
        <f>J94-K4*U94</f>
        <v>-0.65613167527985394</v>
      </c>
      <c r="K95" s="40">
        <f>K94-K4*V94</f>
        <v>-0.40300787484127382</v>
      </c>
      <c r="L95" s="40">
        <f>L94-K4*W94</f>
        <v>1.1703317862985092</v>
      </c>
      <c r="M95" s="40">
        <f>M94-K4*X94</f>
        <v>0.83506981009599213</v>
      </c>
      <c r="N95" s="35">
        <f t="shared" si="30"/>
        <v>-2.7859188975602356</v>
      </c>
      <c r="O95" s="35">
        <f t="shared" si="31"/>
        <v>5.8089852215989925E-2</v>
      </c>
      <c r="P95" s="36">
        <f t="shared" si="32"/>
        <v>0</v>
      </c>
      <c r="Q95" s="36">
        <f t="shared" si="33"/>
        <v>5.8089852215989925E-2</v>
      </c>
      <c r="R95" s="37">
        <f t="shared" si="34"/>
        <v>3.3744309304755494E-3</v>
      </c>
      <c r="T95" s="31">
        <f t="shared" si="35"/>
        <v>6.356821472822319E-3</v>
      </c>
      <c r="U95" s="31">
        <f t="shared" si="36"/>
        <v>3.3691153805958288E-2</v>
      </c>
      <c r="V95" s="31">
        <f t="shared" si="37"/>
        <v>2.3520239449442582E-2</v>
      </c>
      <c r="W95" s="31">
        <f t="shared" si="38"/>
        <v>9.5352322092334789E-3</v>
      </c>
      <c r="X95" s="31">
        <f t="shared" si="39"/>
        <v>1.2713642945644638E-3</v>
      </c>
    </row>
    <row r="96" spans="1:24" ht="14.25" customHeight="1" thickBot="1" x14ac:dyDescent="0.35">
      <c r="A96" s="43"/>
      <c r="B96" s="38">
        <v>10</v>
      </c>
      <c r="C96" s="10">
        <v>5</v>
      </c>
      <c r="D96" s="11">
        <v>3.3</v>
      </c>
      <c r="E96" s="11">
        <v>1.4</v>
      </c>
      <c r="F96" s="11">
        <v>0.2</v>
      </c>
      <c r="G96" s="41">
        <v>0</v>
      </c>
      <c r="I96" s="38">
        <f>I95-K4*T95</f>
        <v>0.2595607947214591</v>
      </c>
      <c r="J96" s="40">
        <f>J95-K4*U95</f>
        <v>-0.65950079066044975</v>
      </c>
      <c r="K96" s="40">
        <f>K95-K4*V95</f>
        <v>-0.40535989878621809</v>
      </c>
      <c r="L96" s="40">
        <f>L95-K4*W95</f>
        <v>1.1693782630775857</v>
      </c>
      <c r="M96" s="40">
        <f>M95-K4*X95</f>
        <v>0.83494267366653563</v>
      </c>
      <c r="N96" s="35">
        <f t="shared" si="30"/>
        <v>-2.5715127215333822</v>
      </c>
      <c r="O96" s="35">
        <f t="shared" si="31"/>
        <v>7.0994468893022938E-2</v>
      </c>
      <c r="P96" s="36">
        <f t="shared" si="32"/>
        <v>0</v>
      </c>
      <c r="Q96" s="36">
        <f t="shared" si="33"/>
        <v>7.0994468893022938E-2</v>
      </c>
      <c r="R96" s="37">
        <f t="shared" si="34"/>
        <v>5.0402146134024012E-3</v>
      </c>
      <c r="T96" s="31">
        <f t="shared" si="35"/>
        <v>9.3647745076340903E-3</v>
      </c>
      <c r="U96" s="31">
        <f t="shared" si="36"/>
        <v>4.6823872538170455E-2</v>
      </c>
      <c r="V96" s="31">
        <f t="shared" si="37"/>
        <v>3.0903755875192496E-2</v>
      </c>
      <c r="W96" s="31">
        <f t="shared" si="38"/>
        <v>1.3110684310687726E-2</v>
      </c>
      <c r="X96" s="31">
        <f t="shared" si="39"/>
        <v>1.8729549015268181E-3</v>
      </c>
    </row>
    <row r="97" spans="1:24" ht="14.25" customHeight="1" thickBot="1" x14ac:dyDescent="0.35">
      <c r="A97" s="43"/>
      <c r="B97" s="38">
        <v>11</v>
      </c>
      <c r="C97" s="10">
        <v>5.5</v>
      </c>
      <c r="D97" s="11">
        <v>2.6</v>
      </c>
      <c r="E97" s="11">
        <v>4.4000000000000004</v>
      </c>
      <c r="F97" s="11">
        <v>1.2</v>
      </c>
      <c r="G97" s="41">
        <v>1</v>
      </c>
      <c r="I97" s="38">
        <f>I96-K4*T96</f>
        <v>0.25862431727069568</v>
      </c>
      <c r="J97" s="40">
        <f>J96-K4*U96</f>
        <v>-0.66418317791426684</v>
      </c>
      <c r="K97" s="40">
        <f>K96-K4*V96</f>
        <v>-0.40845027437373732</v>
      </c>
      <c r="L97" s="40">
        <f>L96-K4*W96</f>
        <v>1.1680671946465169</v>
      </c>
      <c r="M97" s="40">
        <f>M96-K4*X96</f>
        <v>0.8347553781763829</v>
      </c>
      <c r="N97" s="35">
        <f t="shared" si="30"/>
        <v>1.6848482356268453</v>
      </c>
      <c r="O97" s="35">
        <f t="shared" si="31"/>
        <v>0.84354545065019459</v>
      </c>
      <c r="P97" s="36">
        <f t="shared" si="32"/>
        <v>1</v>
      </c>
      <c r="Q97" s="36">
        <f t="shared" si="33"/>
        <v>-0.15645454934980541</v>
      </c>
      <c r="R97" s="37">
        <f t="shared" si="34"/>
        <v>2.4478026012250693E-2</v>
      </c>
      <c r="T97" s="31">
        <f t="shared" si="35"/>
        <v>-4.1296654967062391E-2</v>
      </c>
      <c r="U97" s="31">
        <f t="shared" si="36"/>
        <v>-0.22713160231884316</v>
      </c>
      <c r="V97" s="31">
        <f t="shared" si="37"/>
        <v>-0.10737130291436221</v>
      </c>
      <c r="W97" s="31">
        <f t="shared" si="38"/>
        <v>-0.18170528185507454</v>
      </c>
      <c r="X97" s="31">
        <f t="shared" si="39"/>
        <v>-4.955598596047487E-2</v>
      </c>
    </row>
    <row r="98" spans="1:24" ht="14.25" customHeight="1" thickBot="1" x14ac:dyDescent="0.35">
      <c r="A98" s="43"/>
      <c r="B98" s="38">
        <v>12</v>
      </c>
      <c r="C98" s="10">
        <v>6.1</v>
      </c>
      <c r="D98" s="11">
        <v>3</v>
      </c>
      <c r="E98" s="11">
        <v>4.5999999999999996</v>
      </c>
      <c r="F98" s="11">
        <v>1.4</v>
      </c>
      <c r="G98" s="41">
        <v>1</v>
      </c>
      <c r="I98" s="38">
        <f>I97-K4*T97</f>
        <v>0.26275398276740192</v>
      </c>
      <c r="J98" s="40">
        <f>J97-K4*U97</f>
        <v>-0.64147001768238254</v>
      </c>
      <c r="K98" s="40">
        <f>K97-K4*V97</f>
        <v>-0.39771314408230107</v>
      </c>
      <c r="L98" s="40">
        <f>L97-K4*W97</f>
        <v>1.1862377228320242</v>
      </c>
      <c r="M98" s="40">
        <f>M97-K4*X97</f>
        <v>0.83971097677243034</v>
      </c>
      <c r="N98" s="35">
        <f t="shared" si="30"/>
        <v>1.7889363351666783</v>
      </c>
      <c r="O98" s="35">
        <f t="shared" si="31"/>
        <v>0.85679681859003998</v>
      </c>
      <c r="P98" s="36">
        <f t="shared" si="32"/>
        <v>1</v>
      </c>
      <c r="Q98" s="36">
        <f t="shared" si="33"/>
        <v>-0.14320318140996002</v>
      </c>
      <c r="R98" s="37">
        <f t="shared" si="34"/>
        <v>2.0507151165933921E-2</v>
      </c>
      <c r="T98" s="31">
        <f t="shared" si="35"/>
        <v>-3.5140923754634422E-2</v>
      </c>
      <c r="U98" s="31">
        <f t="shared" si="36"/>
        <v>-0.21435963490326995</v>
      </c>
      <c r="V98" s="31">
        <f t="shared" si="37"/>
        <v>-0.10542277126390326</v>
      </c>
      <c r="W98" s="31">
        <f t="shared" si="38"/>
        <v>-0.16164824927131832</v>
      </c>
      <c r="X98" s="31">
        <f t="shared" si="39"/>
        <v>-4.9197293256488188E-2</v>
      </c>
    </row>
    <row r="99" spans="1:24" ht="14.25" customHeight="1" thickBot="1" x14ac:dyDescent="0.35">
      <c r="A99" s="43"/>
      <c r="B99" s="38">
        <v>13</v>
      </c>
      <c r="C99" s="10">
        <v>5.8</v>
      </c>
      <c r="D99" s="11">
        <v>2.6</v>
      </c>
      <c r="E99" s="11">
        <v>4</v>
      </c>
      <c r="F99" s="11">
        <v>1.2</v>
      </c>
      <c r="G99" s="41">
        <v>1</v>
      </c>
      <c r="I99" s="38">
        <f>I98-K4*T98</f>
        <v>0.26626807514286538</v>
      </c>
      <c r="J99" s="40">
        <f>J98-K4*U98</f>
        <v>-0.62003405419205559</v>
      </c>
      <c r="K99" s="40">
        <f>K98-K4*V98</f>
        <v>-0.38717086695591074</v>
      </c>
      <c r="L99" s="40">
        <f>L98-K4*W98</f>
        <v>1.202402547759156</v>
      </c>
      <c r="M99" s="40">
        <f>M98-K4*X98</f>
        <v>0.84463070609807911</v>
      </c>
      <c r="N99" s="35">
        <f t="shared" si="30"/>
        <v>1.4865933450978945</v>
      </c>
      <c r="O99" s="35">
        <f t="shared" si="31"/>
        <v>0.81556640165705929</v>
      </c>
      <c r="P99" s="36">
        <f t="shared" si="32"/>
        <v>1</v>
      </c>
      <c r="Q99" s="36">
        <f t="shared" si="33"/>
        <v>-0.18443359834294071</v>
      </c>
      <c r="R99" s="37">
        <f t="shared" si="34"/>
        <v>3.401575219772518E-2</v>
      </c>
      <c r="T99" s="31">
        <f t="shared" si="35"/>
        <v>-5.548420923911386E-2</v>
      </c>
      <c r="U99" s="31">
        <f t="shared" si="36"/>
        <v>-0.32180841358686035</v>
      </c>
      <c r="V99" s="31">
        <f t="shared" si="37"/>
        <v>-0.14425894402169603</v>
      </c>
      <c r="W99" s="31">
        <f t="shared" si="38"/>
        <v>-0.22193683695645544</v>
      </c>
      <c r="X99" s="31">
        <f t="shared" si="39"/>
        <v>-6.6581051086936627E-2</v>
      </c>
    </row>
    <row r="100" spans="1:24" ht="14.25" customHeight="1" thickBot="1" x14ac:dyDescent="0.35">
      <c r="A100" s="43"/>
      <c r="B100" s="38">
        <v>14</v>
      </c>
      <c r="C100" s="10">
        <v>5</v>
      </c>
      <c r="D100" s="11">
        <v>2.2999999999999998</v>
      </c>
      <c r="E100" s="11">
        <v>3.3</v>
      </c>
      <c r="F100" s="11">
        <v>1</v>
      </c>
      <c r="G100" s="41">
        <v>1</v>
      </c>
      <c r="I100" s="38">
        <f>I99-K4*T99</f>
        <v>0.27181649606677677</v>
      </c>
      <c r="J100" s="40">
        <f>J99-K4*U99</f>
        <v>-0.58785321283336955</v>
      </c>
      <c r="K100" s="40">
        <f>K99-K4*V99</f>
        <v>-0.37274497255374112</v>
      </c>
      <c r="L100" s="40">
        <f>L99-K4*W99</f>
        <v>1.2245962314548016</v>
      </c>
      <c r="M100" s="40">
        <f>M99-K4*X99</f>
        <v>0.8512888112067728</v>
      </c>
      <c r="N100" s="35">
        <f t="shared" si="30"/>
        <v>1.3676933700339422</v>
      </c>
      <c r="O100" s="35">
        <f t="shared" si="31"/>
        <v>0.7970072271542793</v>
      </c>
      <c r="P100" s="36">
        <f t="shared" si="32"/>
        <v>1</v>
      </c>
      <c r="Q100" s="36">
        <f t="shared" si="33"/>
        <v>-0.2029927728457207</v>
      </c>
      <c r="R100" s="37">
        <f t="shared" si="34"/>
        <v>4.1206065827594368E-2</v>
      </c>
      <c r="T100" s="31">
        <f t="shared" si="35"/>
        <v>-6.5683064534375377E-2</v>
      </c>
      <c r="U100" s="31">
        <f t="shared" si="36"/>
        <v>-0.3284153226718769</v>
      </c>
      <c r="V100" s="31">
        <f t="shared" si="37"/>
        <v>-0.15107104842906335</v>
      </c>
      <c r="W100" s="31">
        <f t="shared" si="38"/>
        <v>-0.21675411296343874</v>
      </c>
      <c r="X100" s="31">
        <f t="shared" si="39"/>
        <v>-6.5683064534375377E-2</v>
      </c>
    </row>
    <row r="101" spans="1:24" ht="14.25" customHeight="1" thickBot="1" x14ac:dyDescent="0.35">
      <c r="A101" s="43"/>
      <c r="B101" s="38">
        <v>15</v>
      </c>
      <c r="C101" s="10">
        <v>5.6</v>
      </c>
      <c r="D101" s="11">
        <v>2.7</v>
      </c>
      <c r="E101" s="11">
        <v>4.2</v>
      </c>
      <c r="F101" s="11">
        <v>1.3</v>
      </c>
      <c r="G101" s="41">
        <v>1</v>
      </c>
      <c r="I101" s="38">
        <f>I100-K4*T100</f>
        <v>0.2783848025202143</v>
      </c>
      <c r="J101" s="40">
        <f>J100-K4*U100</f>
        <v>-0.55501168056618189</v>
      </c>
      <c r="K101" s="40">
        <f>K100-K4*V100</f>
        <v>-0.35763786771083478</v>
      </c>
      <c r="L101" s="40">
        <f>L100-K4*W100</f>
        <v>1.2462716427511455</v>
      </c>
      <c r="M101" s="40">
        <f>M100-K4*X100</f>
        <v>0.85785711766021033</v>
      </c>
      <c r="N101" s="35">
        <f t="shared" si="30"/>
        <v>2.554252301043427</v>
      </c>
      <c r="O101" s="35">
        <f t="shared" si="31"/>
        <v>0.92785866911597092</v>
      </c>
      <c r="P101" s="36">
        <f t="shared" si="32"/>
        <v>1</v>
      </c>
      <c r="Q101" s="36">
        <f t="shared" si="33"/>
        <v>-7.2141330884029076E-2</v>
      </c>
      <c r="R101" s="37">
        <f t="shared" si="34"/>
        <v>5.2043716217189673E-3</v>
      </c>
      <c r="T101" s="31">
        <f t="shared" si="35"/>
        <v>-9.6578426530261764E-3</v>
      </c>
      <c r="U101" s="31">
        <f t="shared" si="36"/>
        <v>-5.4083918856946585E-2</v>
      </c>
      <c r="V101" s="31">
        <f t="shared" si="37"/>
        <v>-2.6076175163170678E-2</v>
      </c>
      <c r="W101" s="31">
        <f t="shared" si="38"/>
        <v>-4.056293914270994E-2</v>
      </c>
      <c r="X101" s="31">
        <f t="shared" si="39"/>
        <v>-1.255519544893403E-2</v>
      </c>
    </row>
    <row r="102" spans="1:24" ht="14.25" customHeight="1" thickBot="1" x14ac:dyDescent="0.35">
      <c r="A102" s="43"/>
      <c r="B102" s="38">
        <v>16</v>
      </c>
      <c r="C102" s="10">
        <v>5.7</v>
      </c>
      <c r="D102" s="11">
        <v>3</v>
      </c>
      <c r="E102" s="11">
        <v>4.2</v>
      </c>
      <c r="F102" s="11">
        <v>1.2</v>
      </c>
      <c r="G102" s="41">
        <v>1</v>
      </c>
      <c r="I102" s="38">
        <f>I101-K4*T101</f>
        <v>0.27935058678551694</v>
      </c>
      <c r="J102" s="40">
        <f>J101-K4*U101</f>
        <v>-0.54960328868048725</v>
      </c>
      <c r="K102" s="40">
        <f>K101-K4*V101</f>
        <v>-0.35503025019451773</v>
      </c>
      <c r="L102" s="40">
        <f>L101-K4*W101</f>
        <v>1.2503279366654165</v>
      </c>
      <c r="M102" s="40">
        <f>M101-K4*X101</f>
        <v>0.85911263720510378</v>
      </c>
      <c r="N102" s="35">
        <f t="shared" si="30"/>
        <v>2.3638335893640612</v>
      </c>
      <c r="O102" s="35">
        <f t="shared" si="31"/>
        <v>0.91402753210123755</v>
      </c>
      <c r="P102" s="36">
        <f t="shared" si="32"/>
        <v>1</v>
      </c>
      <c r="Q102" s="36">
        <f t="shared" si="33"/>
        <v>-8.597246789876245E-2</v>
      </c>
      <c r="R102" s="37">
        <f t="shared" si="34"/>
        <v>7.3912652366037402E-3</v>
      </c>
      <c r="T102" s="31">
        <f t="shared" si="35"/>
        <v>-1.3511639846637172E-2</v>
      </c>
      <c r="U102" s="31">
        <f t="shared" si="36"/>
        <v>-7.7016347125831885E-2</v>
      </c>
      <c r="V102" s="31">
        <f t="shared" si="37"/>
        <v>-4.0534919539911521E-2</v>
      </c>
      <c r="W102" s="31">
        <f t="shared" si="38"/>
        <v>-5.6748887355876125E-2</v>
      </c>
      <c r="X102" s="31">
        <f t="shared" si="39"/>
        <v>-1.6213967815964608E-2</v>
      </c>
    </row>
    <row r="103" spans="1:24" ht="14.25" customHeight="1" thickBot="1" x14ac:dyDescent="0.35">
      <c r="A103" s="43"/>
      <c r="B103" s="38">
        <v>17</v>
      </c>
      <c r="C103" s="10">
        <v>5.7</v>
      </c>
      <c r="D103" s="11">
        <v>2.9</v>
      </c>
      <c r="E103" s="11">
        <v>4.2</v>
      </c>
      <c r="F103" s="11">
        <v>1.3</v>
      </c>
      <c r="G103" s="41">
        <v>1</v>
      </c>
      <c r="I103" s="38">
        <f>I102-K4*T102</f>
        <v>0.28070175077018067</v>
      </c>
      <c r="J103" s="40">
        <f>J102-K4*U102</f>
        <v>-0.54190165396790402</v>
      </c>
      <c r="K103" s="40">
        <f>K102-K4*V102</f>
        <v>-0.3509767582405266</v>
      </c>
      <c r="L103" s="40">
        <f>L102-K4*W102</f>
        <v>1.2560028254010041</v>
      </c>
      <c r="M103" s="40">
        <f>M102-K4*X102</f>
        <v>0.86073403398670023</v>
      </c>
      <c r="N103" s="35">
        <f t="shared" si="30"/>
        <v>2.5681958351225278</v>
      </c>
      <c r="O103" s="35">
        <f t="shared" si="31"/>
        <v>0.92878645680352478</v>
      </c>
      <c r="P103" s="36">
        <f t="shared" si="32"/>
        <v>1</v>
      </c>
      <c r="Q103" s="36">
        <f t="shared" si="33"/>
        <v>-7.1213543196475215E-2</v>
      </c>
      <c r="R103" s="37">
        <f t="shared" si="34"/>
        <v>5.0713687345962412E-3</v>
      </c>
      <c r="T103" s="31">
        <f t="shared" si="35"/>
        <v>-9.4204371962996365E-3</v>
      </c>
      <c r="U103" s="31">
        <f t="shared" si="36"/>
        <v>-5.3696492018907929E-2</v>
      </c>
      <c r="V103" s="31">
        <f t="shared" si="37"/>
        <v>-2.7319267869268946E-2</v>
      </c>
      <c r="W103" s="31">
        <f t="shared" si="38"/>
        <v>-3.9565836224458473E-2</v>
      </c>
      <c r="X103" s="31">
        <f t="shared" si="39"/>
        <v>-1.2246568355189528E-2</v>
      </c>
    </row>
    <row r="104" spans="1:24" ht="14.25" customHeight="1" thickBot="1" x14ac:dyDescent="0.35">
      <c r="A104" s="43"/>
      <c r="B104" s="38">
        <v>18</v>
      </c>
      <c r="C104" s="10">
        <v>6.2</v>
      </c>
      <c r="D104" s="11">
        <v>2.9</v>
      </c>
      <c r="E104" s="11">
        <v>4.3</v>
      </c>
      <c r="F104" s="11">
        <v>1.3</v>
      </c>
      <c r="G104" s="41">
        <v>1</v>
      </c>
      <c r="I104" s="38">
        <f>I103-K4*T103</f>
        <v>0.28164379448981064</v>
      </c>
      <c r="J104" s="40">
        <f>J103-K4*U103</f>
        <v>-0.53653200476601326</v>
      </c>
      <c r="K104" s="40">
        <f>K103-K4*V103</f>
        <v>-0.34824483145359969</v>
      </c>
      <c r="L104" s="40">
        <f>L103-K4*W103</f>
        <v>1.2599594090234498</v>
      </c>
      <c r="M104" s="40">
        <f>M103-K4*X103</f>
        <v>0.86195869082221921</v>
      </c>
      <c r="N104" s="35">
        <f t="shared" si="30"/>
        <v>2.483607110594809</v>
      </c>
      <c r="O104" s="35">
        <f t="shared" si="31"/>
        <v>0.92298459735647198</v>
      </c>
      <c r="P104" s="36">
        <f t="shared" si="32"/>
        <v>1</v>
      </c>
      <c r="Q104" s="36">
        <f t="shared" si="33"/>
        <v>-7.7015402643528019E-2</v>
      </c>
      <c r="R104" s="37">
        <f t="shared" si="34"/>
        <v>5.9313722443447422E-3</v>
      </c>
      <c r="T104" s="31">
        <f t="shared" si="35"/>
        <v>-1.0949130445435771E-2</v>
      </c>
      <c r="U104" s="31">
        <f t="shared" si="36"/>
        <v>-6.7884608761701784E-2</v>
      </c>
      <c r="V104" s="31">
        <f t="shared" si="37"/>
        <v>-3.1752478291763739E-2</v>
      </c>
      <c r="W104" s="31">
        <f t="shared" si="38"/>
        <v>-4.7081260915373811E-2</v>
      </c>
      <c r="X104" s="31">
        <f t="shared" si="39"/>
        <v>-1.4233869579066503E-2</v>
      </c>
    </row>
    <row r="105" spans="1:24" ht="14.25" customHeight="1" thickBot="1" x14ac:dyDescent="0.35">
      <c r="A105" s="43"/>
      <c r="B105" s="38">
        <v>19</v>
      </c>
      <c r="C105" s="10">
        <v>5.0999999999999996</v>
      </c>
      <c r="D105" s="11">
        <v>2.5</v>
      </c>
      <c r="E105" s="11">
        <v>3</v>
      </c>
      <c r="F105" s="11">
        <v>1.1000000000000001</v>
      </c>
      <c r="G105" s="41">
        <v>1</v>
      </c>
      <c r="I105" s="38">
        <f>I104-K4*T104</f>
        <v>0.28273870753435421</v>
      </c>
      <c r="J105" s="40">
        <f>J104-K4*U104</f>
        <v>-0.52974354388984313</v>
      </c>
      <c r="K105" s="40">
        <f>K104-K4*V104</f>
        <v>-0.3450695836244233</v>
      </c>
      <c r="L105" s="40">
        <f>L104-K4*W104</f>
        <v>1.2646675351149872</v>
      </c>
      <c r="M105" s="40">
        <f>M104-K4*X104</f>
        <v>0.86338207778012588</v>
      </c>
      <c r="N105" s="35">
        <f t="shared" si="30"/>
        <v>1.4620955655381964</v>
      </c>
      <c r="O105" s="35">
        <f t="shared" si="31"/>
        <v>0.81185297684884949</v>
      </c>
      <c r="P105" s="36">
        <f t="shared" si="32"/>
        <v>1</v>
      </c>
      <c r="Q105" s="36">
        <f t="shared" si="33"/>
        <v>-0.18814702315115051</v>
      </c>
      <c r="R105" s="37">
        <f t="shared" si="34"/>
        <v>3.5399302320639564E-2</v>
      </c>
      <c r="T105" s="31">
        <f t="shared" si="35"/>
        <v>-5.7478057934767235E-2</v>
      </c>
      <c r="U105" s="31">
        <f t="shared" si="36"/>
        <v>-0.2931380954673129</v>
      </c>
      <c r="V105" s="31">
        <f t="shared" si="37"/>
        <v>-0.14369514483691809</v>
      </c>
      <c r="W105" s="31">
        <f t="shared" si="38"/>
        <v>-0.1724341738043017</v>
      </c>
      <c r="X105" s="31">
        <f t="shared" si="39"/>
        <v>-6.3225863728243958E-2</v>
      </c>
    </row>
    <row r="106" spans="1:24" ht="14.25" customHeight="1" thickBot="1" x14ac:dyDescent="0.35">
      <c r="A106" s="44"/>
      <c r="B106" s="38">
        <v>20</v>
      </c>
      <c r="C106" s="10">
        <v>5.7</v>
      </c>
      <c r="D106" s="11">
        <v>2.8</v>
      </c>
      <c r="E106" s="11">
        <v>4.0999999999999996</v>
      </c>
      <c r="F106" s="11">
        <v>1.3</v>
      </c>
      <c r="G106" s="41">
        <v>1</v>
      </c>
      <c r="H106" s="37">
        <f>SUMPRODUCT(--(P87:P106=G87:G106))/20</f>
        <v>1</v>
      </c>
      <c r="I106" s="38">
        <f>I105-K4*T105</f>
        <v>0.28848651332783093</v>
      </c>
      <c r="J106" s="40">
        <f>J105-K4*U105</f>
        <v>-0.50042973434311189</v>
      </c>
      <c r="K106" s="40">
        <f>K105-K4*V105</f>
        <v>-0.33070006914073147</v>
      </c>
      <c r="L106" s="40">
        <f>L105-K4*W105</f>
        <v>1.2819109524954173</v>
      </c>
      <c r="M106" s="40">
        <f>M105-K4*X105</f>
        <v>0.86970466415295022</v>
      </c>
      <c r="N106" s="35">
        <f t="shared" si="30"/>
        <v>2.8965278026080901</v>
      </c>
      <c r="O106" s="35">
        <f t="shared" si="31"/>
        <v>0.94767452666277929</v>
      </c>
      <c r="P106" s="36">
        <f t="shared" si="32"/>
        <v>1</v>
      </c>
      <c r="Q106" s="36">
        <f t="shared" si="33"/>
        <v>-5.2325473337220707E-2</v>
      </c>
      <c r="R106" s="37">
        <f t="shared" si="34"/>
        <v>2.7379551599641949E-3</v>
      </c>
      <c r="S106" s="37">
        <f>AVERAGE(R87:R106)</f>
        <v>2.6561282710642602E-2</v>
      </c>
      <c r="T106" s="31">
        <f t="shared" si="35"/>
        <v>-5.1893807204859655E-3</v>
      </c>
      <c r="U106" s="31">
        <f t="shared" si="36"/>
        <v>-2.9579470106770006E-2</v>
      </c>
      <c r="V106" s="31">
        <f t="shared" si="37"/>
        <v>-1.4530266017360703E-2</v>
      </c>
      <c r="W106" s="31">
        <f t="shared" si="38"/>
        <v>-2.1276460953992458E-2</v>
      </c>
      <c r="X106" s="31">
        <f t="shared" si="39"/>
        <v>-6.7461949366317553E-3</v>
      </c>
    </row>
    <row r="107" spans="1:24" ht="14.25" customHeight="1" x14ac:dyDescent="0.3">
      <c r="P107" s="18"/>
      <c r="Q107" s="18"/>
      <c r="R107" s="18"/>
    </row>
    <row r="108" spans="1:24" ht="14.25" customHeight="1" x14ac:dyDescent="0.3">
      <c r="P108" s="18"/>
      <c r="Q108" s="18"/>
      <c r="R108" s="18"/>
    </row>
    <row r="109" spans="1:24" ht="14.25" customHeight="1" x14ac:dyDescent="0.3">
      <c r="P109" s="18"/>
      <c r="Q109" s="18"/>
      <c r="R109" s="18"/>
    </row>
    <row r="110" spans="1:24" ht="14.25" customHeight="1" x14ac:dyDescent="0.3">
      <c r="P110" s="18"/>
      <c r="Q110" s="18"/>
      <c r="R110" s="18"/>
    </row>
    <row r="111" spans="1:24" ht="14.25" customHeight="1" x14ac:dyDescent="0.3">
      <c r="P111" s="18"/>
      <c r="Q111" s="18"/>
      <c r="R111" s="18"/>
    </row>
    <row r="112" spans="1:24" ht="14.25" customHeight="1" x14ac:dyDescent="0.3">
      <c r="P112" s="18"/>
      <c r="Q112" s="18"/>
      <c r="R112" s="18"/>
    </row>
    <row r="113" spans="16:18" ht="14.25" customHeight="1" x14ac:dyDescent="0.3">
      <c r="P113" s="18"/>
      <c r="Q113" s="18"/>
      <c r="R113" s="18"/>
    </row>
    <row r="114" spans="16:18" ht="14.25" customHeight="1" x14ac:dyDescent="0.3">
      <c r="P114" s="18"/>
      <c r="Q114" s="18"/>
      <c r="R114" s="18"/>
    </row>
    <row r="115" spans="16:18" ht="14.25" customHeight="1" x14ac:dyDescent="0.3">
      <c r="P115" s="18"/>
      <c r="Q115" s="18"/>
      <c r="R115" s="18"/>
    </row>
    <row r="116" spans="16:18" ht="14.25" customHeight="1" x14ac:dyDescent="0.3">
      <c r="P116" s="18"/>
      <c r="Q116" s="18"/>
      <c r="R116" s="18"/>
    </row>
    <row r="117" spans="16:18" ht="14.25" customHeight="1" x14ac:dyDescent="0.3">
      <c r="P117" s="18"/>
      <c r="Q117" s="18"/>
      <c r="R117" s="18"/>
    </row>
    <row r="118" spans="16:18" ht="14.25" customHeight="1" x14ac:dyDescent="0.3">
      <c r="P118" s="18"/>
      <c r="Q118" s="18"/>
      <c r="R118" s="18"/>
    </row>
    <row r="119" spans="16:18" ht="14.25" customHeight="1" x14ac:dyDescent="0.3">
      <c r="P119" s="18"/>
      <c r="Q119" s="18"/>
      <c r="R119" s="18"/>
    </row>
    <row r="120" spans="16:18" ht="14.25" customHeight="1" x14ac:dyDescent="0.3">
      <c r="P120" s="18"/>
      <c r="Q120" s="18"/>
      <c r="R120" s="18"/>
    </row>
    <row r="121" spans="16:18" ht="14.25" customHeight="1" x14ac:dyDescent="0.3">
      <c r="P121" s="18"/>
      <c r="Q121" s="18"/>
      <c r="R121" s="18"/>
    </row>
    <row r="122" spans="16:18" ht="14.25" customHeight="1" x14ac:dyDescent="0.3">
      <c r="P122" s="18"/>
      <c r="Q122" s="18"/>
      <c r="R122" s="18"/>
    </row>
    <row r="123" spans="16:18" ht="14.25" customHeight="1" x14ac:dyDescent="0.3">
      <c r="P123" s="18"/>
      <c r="Q123" s="18"/>
      <c r="R123" s="18"/>
    </row>
    <row r="124" spans="16:18" ht="14.25" customHeight="1" x14ac:dyDescent="0.3">
      <c r="P124" s="18"/>
      <c r="Q124" s="18"/>
      <c r="R124" s="18"/>
    </row>
    <row r="125" spans="16:18" ht="14.25" customHeight="1" x14ac:dyDescent="0.3">
      <c r="P125" s="18"/>
      <c r="Q125" s="18"/>
      <c r="R125" s="18"/>
    </row>
    <row r="126" spans="16:18" ht="14.25" customHeight="1" x14ac:dyDescent="0.3">
      <c r="P126" s="18"/>
      <c r="Q126" s="18"/>
      <c r="R126" s="18"/>
    </row>
    <row r="127" spans="16:18" ht="14.25" customHeight="1" x14ac:dyDescent="0.3">
      <c r="P127" s="18"/>
      <c r="Q127" s="18"/>
      <c r="R127" s="18"/>
    </row>
    <row r="128" spans="16:18" ht="14.25" customHeight="1" x14ac:dyDescent="0.3">
      <c r="P128" s="18"/>
      <c r="Q128" s="18"/>
      <c r="R128" s="18"/>
    </row>
    <row r="129" spans="16:18" ht="14.25" customHeight="1" x14ac:dyDescent="0.3">
      <c r="P129" s="18"/>
      <c r="Q129" s="18"/>
      <c r="R129" s="18"/>
    </row>
    <row r="130" spans="16:18" ht="14.25" customHeight="1" x14ac:dyDescent="0.3">
      <c r="P130" s="18"/>
      <c r="Q130" s="18"/>
      <c r="R130" s="18"/>
    </row>
    <row r="131" spans="16:18" ht="14.25" customHeight="1" x14ac:dyDescent="0.3">
      <c r="P131" s="18"/>
      <c r="Q131" s="18"/>
      <c r="R131" s="18"/>
    </row>
    <row r="132" spans="16:18" ht="14.25" customHeight="1" x14ac:dyDescent="0.3">
      <c r="P132" s="18"/>
      <c r="Q132" s="18"/>
      <c r="R132" s="18"/>
    </row>
    <row r="133" spans="16:18" ht="14.25" customHeight="1" x14ac:dyDescent="0.3">
      <c r="P133" s="18"/>
      <c r="Q133" s="18"/>
      <c r="R133" s="18"/>
    </row>
    <row r="134" spans="16:18" ht="14.25" customHeight="1" x14ac:dyDescent="0.3">
      <c r="P134" s="18"/>
      <c r="Q134" s="18"/>
      <c r="R134" s="18"/>
    </row>
    <row r="135" spans="16:18" ht="14.25" customHeight="1" x14ac:dyDescent="0.3">
      <c r="P135" s="18"/>
      <c r="Q135" s="18"/>
      <c r="R135" s="18"/>
    </row>
    <row r="136" spans="16:18" ht="14.25" customHeight="1" x14ac:dyDescent="0.3">
      <c r="P136" s="18"/>
      <c r="Q136" s="18"/>
      <c r="R136" s="18"/>
    </row>
    <row r="137" spans="16:18" ht="14.25" customHeight="1" x14ac:dyDescent="0.3">
      <c r="P137" s="18"/>
      <c r="Q137" s="18"/>
      <c r="R137" s="18"/>
    </row>
    <row r="138" spans="16:18" ht="14.25" customHeight="1" x14ac:dyDescent="0.3">
      <c r="P138" s="18"/>
      <c r="Q138" s="18"/>
      <c r="R138" s="18"/>
    </row>
    <row r="139" spans="16:18" ht="14.25" customHeight="1" x14ac:dyDescent="0.3">
      <c r="P139" s="18"/>
      <c r="Q139" s="18"/>
      <c r="R139" s="18"/>
    </row>
    <row r="140" spans="16:18" ht="14.25" customHeight="1" x14ac:dyDescent="0.3">
      <c r="P140" s="18"/>
      <c r="Q140" s="18"/>
      <c r="R140" s="18"/>
    </row>
    <row r="141" spans="16:18" ht="14.25" customHeight="1" x14ac:dyDescent="0.3">
      <c r="P141" s="18"/>
      <c r="Q141" s="18"/>
      <c r="R141" s="18"/>
    </row>
    <row r="142" spans="16:18" ht="14.25" customHeight="1" x14ac:dyDescent="0.3">
      <c r="P142" s="18"/>
      <c r="Q142" s="18"/>
      <c r="R142" s="18"/>
    </row>
    <row r="143" spans="16:18" ht="14.25" customHeight="1" x14ac:dyDescent="0.3">
      <c r="P143" s="18"/>
      <c r="Q143" s="18"/>
      <c r="R143" s="18"/>
    </row>
    <row r="144" spans="16:18" ht="14.25" customHeight="1" x14ac:dyDescent="0.3">
      <c r="P144" s="18"/>
      <c r="Q144" s="18"/>
      <c r="R144" s="18"/>
    </row>
    <row r="145" spans="16:18" ht="14.25" customHeight="1" x14ac:dyDescent="0.3">
      <c r="P145" s="18"/>
      <c r="Q145" s="18"/>
      <c r="R145" s="18"/>
    </row>
    <row r="146" spans="16:18" ht="14.25" customHeight="1" x14ac:dyDescent="0.3">
      <c r="P146" s="18"/>
      <c r="Q146" s="18"/>
      <c r="R146" s="18"/>
    </row>
    <row r="147" spans="16:18" ht="14.25" customHeight="1" x14ac:dyDescent="0.3">
      <c r="P147" s="18"/>
      <c r="Q147" s="18"/>
      <c r="R147" s="18"/>
    </row>
    <row r="148" spans="16:18" ht="14.25" customHeight="1" x14ac:dyDescent="0.3">
      <c r="P148" s="18"/>
      <c r="Q148" s="18"/>
      <c r="R148" s="18"/>
    </row>
    <row r="149" spans="16:18" ht="14.25" customHeight="1" x14ac:dyDescent="0.3">
      <c r="P149" s="18"/>
      <c r="Q149" s="18"/>
      <c r="R149" s="18"/>
    </row>
    <row r="150" spans="16:18" ht="14.25" customHeight="1" x14ac:dyDescent="0.3">
      <c r="P150" s="18"/>
      <c r="Q150" s="18"/>
      <c r="R150" s="18"/>
    </row>
    <row r="151" spans="16:18" ht="14.25" customHeight="1" x14ac:dyDescent="0.3">
      <c r="P151" s="18"/>
      <c r="Q151" s="18"/>
      <c r="R151" s="18"/>
    </row>
    <row r="152" spans="16:18" ht="14.25" customHeight="1" x14ac:dyDescent="0.3">
      <c r="P152" s="18"/>
      <c r="Q152" s="18"/>
      <c r="R152" s="18"/>
    </row>
    <row r="153" spans="16:18" ht="14.25" customHeight="1" x14ac:dyDescent="0.3">
      <c r="P153" s="18"/>
      <c r="Q153" s="18"/>
      <c r="R153" s="18"/>
    </row>
    <row r="154" spans="16:18" ht="14.25" customHeight="1" x14ac:dyDescent="0.3">
      <c r="P154" s="18"/>
      <c r="Q154" s="18"/>
      <c r="R154" s="18"/>
    </row>
    <row r="155" spans="16:18" ht="14.25" customHeight="1" x14ac:dyDescent="0.3">
      <c r="P155" s="18"/>
      <c r="Q155" s="18"/>
      <c r="R155" s="18"/>
    </row>
    <row r="156" spans="16:18" ht="14.25" customHeight="1" x14ac:dyDescent="0.3">
      <c r="P156" s="18"/>
      <c r="Q156" s="18"/>
      <c r="R156" s="18"/>
    </row>
    <row r="157" spans="16:18" ht="14.25" customHeight="1" x14ac:dyDescent="0.3">
      <c r="P157" s="18"/>
      <c r="Q157" s="18"/>
      <c r="R157" s="18"/>
    </row>
    <row r="158" spans="16:18" ht="14.25" customHeight="1" x14ac:dyDescent="0.3">
      <c r="P158" s="18"/>
      <c r="Q158" s="18"/>
      <c r="R158" s="18"/>
    </row>
    <row r="159" spans="16:18" ht="14.25" customHeight="1" x14ac:dyDescent="0.3">
      <c r="P159" s="18"/>
      <c r="Q159" s="18"/>
      <c r="R159" s="18"/>
    </row>
    <row r="160" spans="16:18" ht="14.25" customHeight="1" x14ac:dyDescent="0.3">
      <c r="P160" s="18"/>
      <c r="Q160" s="18"/>
      <c r="R160" s="18"/>
    </row>
    <row r="161" spans="16:18" ht="14.25" customHeight="1" x14ac:dyDescent="0.3">
      <c r="P161" s="18"/>
      <c r="Q161" s="18"/>
      <c r="R161" s="18"/>
    </row>
    <row r="162" spans="16:18" ht="14.25" customHeight="1" x14ac:dyDescent="0.3">
      <c r="P162" s="18"/>
      <c r="Q162" s="18"/>
      <c r="R162" s="18"/>
    </row>
    <row r="163" spans="16:18" ht="14.25" customHeight="1" x14ac:dyDescent="0.3">
      <c r="P163" s="18"/>
      <c r="Q163" s="18"/>
      <c r="R163" s="18"/>
    </row>
    <row r="164" spans="16:18" ht="14.25" customHeight="1" x14ac:dyDescent="0.3">
      <c r="P164" s="18"/>
      <c r="Q164" s="18"/>
      <c r="R164" s="18"/>
    </row>
    <row r="165" spans="16:18" ht="14.25" customHeight="1" x14ac:dyDescent="0.3">
      <c r="P165" s="18"/>
      <c r="Q165" s="18"/>
      <c r="R165" s="18"/>
    </row>
    <row r="166" spans="16:18" ht="14.25" customHeight="1" x14ac:dyDescent="0.3">
      <c r="P166" s="18"/>
      <c r="Q166" s="18"/>
      <c r="R166" s="18"/>
    </row>
    <row r="167" spans="16:18" ht="14.25" customHeight="1" x14ac:dyDescent="0.3">
      <c r="P167" s="18"/>
      <c r="Q167" s="18"/>
      <c r="R167" s="18"/>
    </row>
    <row r="168" spans="16:18" ht="14.25" customHeight="1" x14ac:dyDescent="0.3">
      <c r="P168" s="18"/>
      <c r="Q168" s="18"/>
      <c r="R168" s="18"/>
    </row>
    <row r="169" spans="16:18" ht="14.25" customHeight="1" x14ac:dyDescent="0.3">
      <c r="P169" s="18"/>
      <c r="Q169" s="18"/>
      <c r="R169" s="18"/>
    </row>
    <row r="170" spans="16:18" ht="14.25" customHeight="1" x14ac:dyDescent="0.3">
      <c r="P170" s="18"/>
      <c r="Q170" s="18"/>
      <c r="R170" s="18"/>
    </row>
    <row r="171" spans="16:18" ht="14.25" customHeight="1" x14ac:dyDescent="0.3">
      <c r="P171" s="18"/>
      <c r="Q171" s="18"/>
      <c r="R171" s="18"/>
    </row>
    <row r="172" spans="16:18" ht="14.25" customHeight="1" x14ac:dyDescent="0.3">
      <c r="P172" s="18"/>
      <c r="Q172" s="18"/>
      <c r="R172" s="18"/>
    </row>
    <row r="173" spans="16:18" ht="14.25" customHeight="1" x14ac:dyDescent="0.3">
      <c r="P173" s="18"/>
      <c r="Q173" s="18"/>
      <c r="R173" s="18"/>
    </row>
    <row r="174" spans="16:18" ht="14.25" customHeight="1" x14ac:dyDescent="0.3">
      <c r="P174" s="18"/>
      <c r="Q174" s="18"/>
      <c r="R174" s="18"/>
    </row>
    <row r="175" spans="16:18" ht="14.25" customHeight="1" x14ac:dyDescent="0.3">
      <c r="P175" s="18"/>
      <c r="Q175" s="18"/>
      <c r="R175" s="18"/>
    </row>
    <row r="176" spans="16:18" ht="14.25" customHeight="1" x14ac:dyDescent="0.3">
      <c r="P176" s="18"/>
      <c r="Q176" s="18"/>
      <c r="R176" s="18"/>
    </row>
    <row r="177" spans="16:18" ht="14.25" customHeight="1" x14ac:dyDescent="0.3">
      <c r="P177" s="18"/>
      <c r="Q177" s="18"/>
      <c r="R177" s="18"/>
    </row>
    <row r="178" spans="16:18" ht="14.25" customHeight="1" x14ac:dyDescent="0.3">
      <c r="P178" s="18"/>
      <c r="Q178" s="18"/>
      <c r="R178" s="18"/>
    </row>
    <row r="179" spans="16:18" ht="14.25" customHeight="1" x14ac:dyDescent="0.3">
      <c r="P179" s="18"/>
      <c r="Q179" s="18"/>
      <c r="R179" s="18"/>
    </row>
    <row r="180" spans="16:18" ht="14.25" customHeight="1" x14ac:dyDescent="0.3">
      <c r="P180" s="18"/>
      <c r="Q180" s="18"/>
      <c r="R180" s="18"/>
    </row>
    <row r="181" spans="16:18" ht="14.25" customHeight="1" x14ac:dyDescent="0.3">
      <c r="P181" s="18"/>
      <c r="Q181" s="18"/>
      <c r="R181" s="18"/>
    </row>
    <row r="182" spans="16:18" ht="14.25" customHeight="1" x14ac:dyDescent="0.3">
      <c r="P182" s="18"/>
      <c r="Q182" s="18"/>
      <c r="R182" s="18"/>
    </row>
    <row r="183" spans="16:18" ht="14.25" customHeight="1" x14ac:dyDescent="0.3">
      <c r="P183" s="18"/>
      <c r="Q183" s="18"/>
      <c r="R183" s="18"/>
    </row>
    <row r="184" spans="16:18" ht="14.25" customHeight="1" x14ac:dyDescent="0.3">
      <c r="P184" s="18"/>
      <c r="Q184" s="18"/>
      <c r="R184" s="18"/>
    </row>
    <row r="185" spans="16:18" ht="14.25" customHeight="1" x14ac:dyDescent="0.3">
      <c r="P185" s="18"/>
      <c r="Q185" s="18"/>
      <c r="R185" s="18"/>
    </row>
    <row r="186" spans="16:18" ht="14.25" customHeight="1" x14ac:dyDescent="0.3">
      <c r="P186" s="18"/>
      <c r="Q186" s="18"/>
      <c r="R186" s="18"/>
    </row>
    <row r="187" spans="16:18" ht="14.25" customHeight="1" x14ac:dyDescent="0.3">
      <c r="P187" s="18"/>
      <c r="Q187" s="18"/>
      <c r="R187" s="18"/>
    </row>
    <row r="188" spans="16:18" ht="14.25" customHeight="1" x14ac:dyDescent="0.3">
      <c r="P188" s="18"/>
      <c r="Q188" s="18"/>
      <c r="R188" s="18"/>
    </row>
    <row r="189" spans="16:18" ht="14.25" customHeight="1" x14ac:dyDescent="0.3">
      <c r="P189" s="18"/>
      <c r="Q189" s="18"/>
      <c r="R189" s="18"/>
    </row>
    <row r="190" spans="16:18" ht="14.25" customHeight="1" x14ac:dyDescent="0.3">
      <c r="P190" s="18"/>
      <c r="Q190" s="18"/>
      <c r="R190" s="18"/>
    </row>
    <row r="191" spans="16:18" ht="14.25" customHeight="1" x14ac:dyDescent="0.3">
      <c r="P191" s="18"/>
      <c r="Q191" s="18"/>
      <c r="R191" s="18"/>
    </row>
    <row r="192" spans="16:18" ht="14.25" customHeight="1" x14ac:dyDescent="0.3">
      <c r="P192" s="18"/>
      <c r="Q192" s="18"/>
      <c r="R192" s="18"/>
    </row>
    <row r="193" spans="16:18" ht="14.25" customHeight="1" x14ac:dyDescent="0.3">
      <c r="P193" s="18"/>
      <c r="Q193" s="18"/>
      <c r="R193" s="18"/>
    </row>
    <row r="194" spans="16:18" ht="14.25" customHeight="1" x14ac:dyDescent="0.3">
      <c r="P194" s="18"/>
      <c r="Q194" s="18"/>
      <c r="R194" s="18"/>
    </row>
    <row r="195" spans="16:18" ht="14.25" customHeight="1" x14ac:dyDescent="0.3">
      <c r="P195" s="18"/>
      <c r="Q195" s="18"/>
      <c r="R195" s="18"/>
    </row>
    <row r="196" spans="16:18" ht="14.25" customHeight="1" x14ac:dyDescent="0.3">
      <c r="P196" s="18"/>
      <c r="Q196" s="18"/>
      <c r="R196" s="18"/>
    </row>
    <row r="197" spans="16:18" ht="14.25" customHeight="1" x14ac:dyDescent="0.3">
      <c r="P197" s="18"/>
      <c r="Q197" s="18"/>
      <c r="R197" s="18"/>
    </row>
    <row r="198" spans="16:18" ht="14.25" customHeight="1" x14ac:dyDescent="0.3">
      <c r="P198" s="18"/>
      <c r="Q198" s="18"/>
      <c r="R198" s="18"/>
    </row>
    <row r="199" spans="16:18" ht="14.25" customHeight="1" x14ac:dyDescent="0.3">
      <c r="P199" s="18"/>
      <c r="Q199" s="18"/>
      <c r="R199" s="18"/>
    </row>
    <row r="200" spans="16:18" ht="14.25" customHeight="1" x14ac:dyDescent="0.3">
      <c r="P200" s="18"/>
      <c r="Q200" s="18"/>
      <c r="R200" s="18"/>
    </row>
    <row r="201" spans="16:18" ht="14.25" customHeight="1" x14ac:dyDescent="0.3">
      <c r="P201" s="18"/>
      <c r="Q201" s="18"/>
      <c r="R201" s="18"/>
    </row>
    <row r="202" spans="16:18" ht="14.25" customHeight="1" x14ac:dyDescent="0.3">
      <c r="P202" s="18"/>
      <c r="Q202" s="18"/>
      <c r="R202" s="18"/>
    </row>
    <row r="203" spans="16:18" ht="14.25" customHeight="1" x14ac:dyDescent="0.3">
      <c r="P203" s="18"/>
      <c r="Q203" s="18"/>
      <c r="R203" s="18"/>
    </row>
    <row r="204" spans="16:18" ht="14.25" customHeight="1" x14ac:dyDescent="0.3">
      <c r="P204" s="18"/>
      <c r="Q204" s="18"/>
      <c r="R204" s="18"/>
    </row>
    <row r="205" spans="16:18" ht="14.25" customHeight="1" x14ac:dyDescent="0.3">
      <c r="P205" s="18"/>
      <c r="Q205" s="18"/>
      <c r="R205" s="18"/>
    </row>
    <row r="206" spans="16:18" ht="14.25" customHeight="1" x14ac:dyDescent="0.3">
      <c r="P206" s="18"/>
      <c r="Q206" s="18"/>
      <c r="R206" s="18"/>
    </row>
    <row r="207" spans="16:18" ht="14.25" customHeight="1" x14ac:dyDescent="0.3">
      <c r="P207" s="18"/>
      <c r="Q207" s="18"/>
      <c r="R207" s="18"/>
    </row>
    <row r="208" spans="16:18" ht="14.25" customHeight="1" x14ac:dyDescent="0.3">
      <c r="P208" s="18"/>
      <c r="Q208" s="18"/>
      <c r="R208" s="18"/>
    </row>
    <row r="209" spans="16:18" ht="14.25" customHeight="1" x14ac:dyDescent="0.3">
      <c r="P209" s="18"/>
      <c r="Q209" s="18"/>
      <c r="R209" s="18"/>
    </row>
    <row r="210" spans="16:18" ht="14.25" customHeight="1" x14ac:dyDescent="0.3">
      <c r="P210" s="18"/>
      <c r="Q210" s="18"/>
      <c r="R210" s="18"/>
    </row>
    <row r="211" spans="16:18" ht="14.25" customHeight="1" x14ac:dyDescent="0.3">
      <c r="P211" s="18"/>
      <c r="Q211" s="18"/>
      <c r="R211" s="18"/>
    </row>
    <row r="212" spans="16:18" ht="14.25" customHeight="1" x14ac:dyDescent="0.3">
      <c r="P212" s="18"/>
      <c r="Q212" s="18"/>
      <c r="R212" s="18"/>
    </row>
    <row r="213" spans="16:18" ht="14.25" customHeight="1" x14ac:dyDescent="0.3">
      <c r="P213" s="18"/>
      <c r="Q213" s="18"/>
      <c r="R213" s="18"/>
    </row>
    <row r="214" spans="16:18" ht="14.25" customHeight="1" x14ac:dyDescent="0.3">
      <c r="P214" s="18"/>
      <c r="Q214" s="18"/>
      <c r="R214" s="18"/>
    </row>
    <row r="215" spans="16:18" ht="14.25" customHeight="1" x14ac:dyDescent="0.3">
      <c r="P215" s="18"/>
      <c r="Q215" s="18"/>
      <c r="R215" s="18"/>
    </row>
    <row r="216" spans="16:18" ht="14.25" customHeight="1" x14ac:dyDescent="0.3">
      <c r="P216" s="18"/>
      <c r="Q216" s="18"/>
      <c r="R216" s="18"/>
    </row>
    <row r="217" spans="16:18" ht="14.25" customHeight="1" x14ac:dyDescent="0.3">
      <c r="P217" s="18"/>
      <c r="Q217" s="18"/>
      <c r="R217" s="18"/>
    </row>
    <row r="218" spans="16:18" ht="14.25" customHeight="1" x14ac:dyDescent="0.3">
      <c r="P218" s="18"/>
      <c r="Q218" s="18"/>
      <c r="R218" s="18"/>
    </row>
    <row r="219" spans="16:18" ht="14.25" customHeight="1" x14ac:dyDescent="0.3">
      <c r="P219" s="18"/>
      <c r="Q219" s="18"/>
      <c r="R219" s="18"/>
    </row>
    <row r="220" spans="16:18" ht="14.25" customHeight="1" x14ac:dyDescent="0.3">
      <c r="P220" s="18"/>
      <c r="Q220" s="18"/>
      <c r="R220" s="18"/>
    </row>
    <row r="221" spans="16:18" ht="14.25" customHeight="1" x14ac:dyDescent="0.3">
      <c r="P221" s="18"/>
      <c r="Q221" s="18"/>
      <c r="R221" s="18"/>
    </row>
    <row r="222" spans="16:18" ht="14.25" customHeight="1" x14ac:dyDescent="0.3">
      <c r="P222" s="18"/>
      <c r="Q222" s="18"/>
      <c r="R222" s="18"/>
    </row>
    <row r="223" spans="16:18" ht="14.25" customHeight="1" x14ac:dyDescent="0.3">
      <c r="P223" s="18"/>
      <c r="Q223" s="18"/>
      <c r="R223" s="18"/>
    </row>
    <row r="224" spans="16:18" ht="14.25" customHeight="1" x14ac:dyDescent="0.3">
      <c r="P224" s="18"/>
      <c r="Q224" s="18"/>
      <c r="R224" s="18"/>
    </row>
    <row r="225" spans="16:18" ht="14.25" customHeight="1" x14ac:dyDescent="0.3">
      <c r="P225" s="18"/>
      <c r="Q225" s="18"/>
      <c r="R225" s="18"/>
    </row>
    <row r="226" spans="16:18" ht="14.25" customHeight="1" x14ac:dyDescent="0.3">
      <c r="P226" s="18"/>
      <c r="Q226" s="18"/>
      <c r="R226" s="18"/>
    </row>
    <row r="227" spans="16:18" ht="14.25" customHeight="1" x14ac:dyDescent="0.3">
      <c r="P227" s="18"/>
      <c r="Q227" s="18"/>
      <c r="R227" s="18"/>
    </row>
    <row r="228" spans="16:18" ht="14.25" customHeight="1" x14ac:dyDescent="0.3">
      <c r="P228" s="18"/>
      <c r="Q228" s="18"/>
      <c r="R228" s="18"/>
    </row>
    <row r="229" spans="16:18" ht="14.25" customHeight="1" x14ac:dyDescent="0.3">
      <c r="P229" s="18"/>
      <c r="Q229" s="18"/>
      <c r="R229" s="18"/>
    </row>
    <row r="230" spans="16:18" ht="14.25" customHeight="1" x14ac:dyDescent="0.3">
      <c r="P230" s="18"/>
      <c r="Q230" s="18"/>
      <c r="R230" s="18"/>
    </row>
    <row r="231" spans="16:18" ht="14.25" customHeight="1" x14ac:dyDescent="0.3">
      <c r="P231" s="18"/>
      <c r="Q231" s="18"/>
      <c r="R231" s="18"/>
    </row>
    <row r="232" spans="16:18" ht="14.25" customHeight="1" x14ac:dyDescent="0.3">
      <c r="P232" s="18"/>
      <c r="Q232" s="18"/>
      <c r="R232" s="18"/>
    </row>
    <row r="233" spans="16:18" ht="14.25" customHeight="1" x14ac:dyDescent="0.3">
      <c r="P233" s="18"/>
      <c r="Q233" s="18"/>
      <c r="R233" s="18"/>
    </row>
    <row r="234" spans="16:18" ht="14.25" customHeight="1" x14ac:dyDescent="0.3">
      <c r="P234" s="18"/>
      <c r="Q234" s="18"/>
      <c r="R234" s="18"/>
    </row>
    <row r="235" spans="16:18" ht="14.25" customHeight="1" x14ac:dyDescent="0.3">
      <c r="P235" s="18"/>
      <c r="Q235" s="18"/>
      <c r="R235" s="18"/>
    </row>
    <row r="236" spans="16:18" ht="14.25" customHeight="1" x14ac:dyDescent="0.3">
      <c r="P236" s="18"/>
      <c r="Q236" s="18"/>
      <c r="R236" s="18"/>
    </row>
    <row r="237" spans="16:18" ht="14.25" customHeight="1" x14ac:dyDescent="0.3">
      <c r="P237" s="18"/>
      <c r="Q237" s="18"/>
      <c r="R237" s="18"/>
    </row>
    <row r="238" spans="16:18" ht="14.25" customHeight="1" x14ac:dyDescent="0.3">
      <c r="P238" s="18"/>
      <c r="Q238" s="18"/>
      <c r="R238" s="18"/>
    </row>
    <row r="239" spans="16:18" ht="14.25" customHeight="1" x14ac:dyDescent="0.3">
      <c r="P239" s="18"/>
      <c r="Q239" s="18"/>
      <c r="R239" s="18"/>
    </row>
    <row r="240" spans="16:18" ht="14.25" customHeight="1" x14ac:dyDescent="0.3">
      <c r="P240" s="18"/>
      <c r="Q240" s="18"/>
      <c r="R240" s="18"/>
    </row>
    <row r="241" spans="16:18" ht="14.25" customHeight="1" x14ac:dyDescent="0.3">
      <c r="P241" s="18"/>
      <c r="Q241" s="18"/>
      <c r="R241" s="18"/>
    </row>
    <row r="242" spans="16:18" ht="14.25" customHeight="1" x14ac:dyDescent="0.3">
      <c r="P242" s="18"/>
      <c r="Q242" s="18"/>
      <c r="R242" s="18"/>
    </row>
    <row r="243" spans="16:18" ht="14.25" customHeight="1" x14ac:dyDescent="0.3">
      <c r="P243" s="18"/>
      <c r="Q243" s="18"/>
      <c r="R243" s="18"/>
    </row>
    <row r="244" spans="16:18" ht="14.25" customHeight="1" x14ac:dyDescent="0.3">
      <c r="P244" s="18"/>
      <c r="Q244" s="18"/>
      <c r="R244" s="18"/>
    </row>
    <row r="245" spans="16:18" ht="14.25" customHeight="1" x14ac:dyDescent="0.3">
      <c r="P245" s="18"/>
      <c r="Q245" s="18"/>
      <c r="R245" s="18"/>
    </row>
    <row r="246" spans="16:18" ht="14.25" customHeight="1" x14ac:dyDescent="0.3">
      <c r="P246" s="18"/>
      <c r="Q246" s="18"/>
      <c r="R246" s="18"/>
    </row>
    <row r="247" spans="16:18" ht="14.25" customHeight="1" x14ac:dyDescent="0.3">
      <c r="P247" s="18"/>
      <c r="Q247" s="18"/>
      <c r="R247" s="18"/>
    </row>
    <row r="248" spans="16:18" ht="14.25" customHeight="1" x14ac:dyDescent="0.3">
      <c r="P248" s="18"/>
      <c r="Q248" s="18"/>
      <c r="R248" s="18"/>
    </row>
    <row r="249" spans="16:18" ht="14.25" customHeight="1" x14ac:dyDescent="0.3">
      <c r="P249" s="18"/>
      <c r="Q249" s="18"/>
      <c r="R249" s="18"/>
    </row>
    <row r="250" spans="16:18" ht="14.25" customHeight="1" x14ac:dyDescent="0.3">
      <c r="P250" s="18"/>
      <c r="Q250" s="18"/>
      <c r="R250" s="18"/>
    </row>
    <row r="251" spans="16:18" ht="14.25" customHeight="1" x14ac:dyDescent="0.3">
      <c r="P251" s="18"/>
      <c r="Q251" s="18"/>
      <c r="R251" s="18"/>
    </row>
    <row r="252" spans="16:18" ht="14.25" customHeight="1" x14ac:dyDescent="0.3">
      <c r="P252" s="18"/>
      <c r="Q252" s="18"/>
      <c r="R252" s="18"/>
    </row>
    <row r="253" spans="16:18" ht="14.25" customHeight="1" x14ac:dyDescent="0.3">
      <c r="P253" s="18"/>
      <c r="Q253" s="18"/>
      <c r="R253" s="18"/>
    </row>
    <row r="254" spans="16:18" ht="14.25" customHeight="1" x14ac:dyDescent="0.3">
      <c r="P254" s="18"/>
      <c r="Q254" s="18"/>
      <c r="R254" s="18"/>
    </row>
    <row r="255" spans="16:18" ht="14.25" customHeight="1" x14ac:dyDescent="0.3">
      <c r="P255" s="18"/>
      <c r="Q255" s="18"/>
      <c r="R255" s="18"/>
    </row>
    <row r="256" spans="16:18" ht="14.25" customHeight="1" x14ac:dyDescent="0.3">
      <c r="P256" s="18"/>
      <c r="Q256" s="18"/>
      <c r="R256" s="18"/>
    </row>
    <row r="257" spans="16:18" ht="14.25" customHeight="1" x14ac:dyDescent="0.3">
      <c r="P257" s="18"/>
      <c r="Q257" s="18"/>
      <c r="R257" s="18"/>
    </row>
    <row r="258" spans="16:18" ht="14.25" customHeight="1" x14ac:dyDescent="0.3">
      <c r="P258" s="18"/>
      <c r="Q258" s="18"/>
      <c r="R258" s="18"/>
    </row>
    <row r="259" spans="16:18" ht="14.25" customHeight="1" x14ac:dyDescent="0.3">
      <c r="P259" s="18"/>
      <c r="Q259" s="18"/>
      <c r="R259" s="18"/>
    </row>
    <row r="260" spans="16:18" ht="14.25" customHeight="1" x14ac:dyDescent="0.3">
      <c r="P260" s="18"/>
      <c r="Q260" s="18"/>
      <c r="R260" s="18"/>
    </row>
    <row r="261" spans="16:18" ht="14.25" customHeight="1" x14ac:dyDescent="0.3">
      <c r="P261" s="18"/>
      <c r="Q261" s="18"/>
      <c r="R261" s="18"/>
    </row>
    <row r="262" spans="16:18" ht="14.25" customHeight="1" x14ac:dyDescent="0.3">
      <c r="P262" s="18"/>
      <c r="Q262" s="18"/>
      <c r="R262" s="18"/>
    </row>
    <row r="263" spans="16:18" ht="14.25" customHeight="1" x14ac:dyDescent="0.3">
      <c r="P263" s="18"/>
      <c r="Q263" s="18"/>
      <c r="R263" s="18"/>
    </row>
    <row r="264" spans="16:18" ht="14.25" customHeight="1" x14ac:dyDescent="0.3">
      <c r="P264" s="18"/>
      <c r="Q264" s="18"/>
      <c r="R264" s="18"/>
    </row>
    <row r="265" spans="16:18" ht="14.25" customHeight="1" x14ac:dyDescent="0.3">
      <c r="P265" s="18"/>
      <c r="Q265" s="18"/>
      <c r="R265" s="18"/>
    </row>
    <row r="266" spans="16:18" ht="14.25" customHeight="1" x14ac:dyDescent="0.3">
      <c r="P266" s="18"/>
      <c r="Q266" s="18"/>
      <c r="R266" s="18"/>
    </row>
    <row r="267" spans="16:18" ht="14.25" customHeight="1" x14ac:dyDescent="0.3">
      <c r="P267" s="18"/>
      <c r="Q267" s="18"/>
      <c r="R267" s="18"/>
    </row>
    <row r="268" spans="16:18" ht="14.25" customHeight="1" x14ac:dyDescent="0.3">
      <c r="P268" s="18"/>
      <c r="Q268" s="18"/>
      <c r="R268" s="18"/>
    </row>
    <row r="269" spans="16:18" ht="14.25" customHeight="1" x14ac:dyDescent="0.3">
      <c r="P269" s="18"/>
      <c r="Q269" s="18"/>
      <c r="R269" s="18"/>
    </row>
    <row r="270" spans="16:18" ht="14.25" customHeight="1" x14ac:dyDescent="0.3">
      <c r="P270" s="18"/>
      <c r="Q270" s="18"/>
      <c r="R270" s="18"/>
    </row>
    <row r="271" spans="16:18" ht="14.25" customHeight="1" x14ac:dyDescent="0.3">
      <c r="P271" s="18"/>
      <c r="Q271" s="18"/>
      <c r="R271" s="18"/>
    </row>
    <row r="272" spans="16:18" ht="14.25" customHeight="1" x14ac:dyDescent="0.3">
      <c r="P272" s="18"/>
      <c r="Q272" s="18"/>
      <c r="R272" s="18"/>
    </row>
    <row r="273" spans="16:18" ht="14.25" customHeight="1" x14ac:dyDescent="0.3">
      <c r="P273" s="18"/>
      <c r="Q273" s="18"/>
      <c r="R273" s="18"/>
    </row>
    <row r="274" spans="16:18" ht="14.25" customHeight="1" x14ac:dyDescent="0.3">
      <c r="P274" s="18"/>
      <c r="Q274" s="18"/>
      <c r="R274" s="18"/>
    </row>
    <row r="275" spans="16:18" ht="14.25" customHeight="1" x14ac:dyDescent="0.3">
      <c r="P275" s="18"/>
      <c r="Q275" s="18"/>
      <c r="R275" s="18"/>
    </row>
    <row r="276" spans="16:18" ht="14.25" customHeight="1" x14ac:dyDescent="0.3">
      <c r="P276" s="18"/>
      <c r="Q276" s="18"/>
      <c r="R276" s="18"/>
    </row>
    <row r="277" spans="16:18" ht="14.25" customHeight="1" x14ac:dyDescent="0.3">
      <c r="P277" s="18"/>
      <c r="Q277" s="18"/>
      <c r="R277" s="18"/>
    </row>
    <row r="278" spans="16:18" ht="14.25" customHeight="1" x14ac:dyDescent="0.3">
      <c r="P278" s="18"/>
      <c r="Q278" s="18"/>
      <c r="R278" s="18"/>
    </row>
    <row r="279" spans="16:18" ht="14.25" customHeight="1" x14ac:dyDescent="0.3">
      <c r="P279" s="18"/>
      <c r="Q279" s="18"/>
      <c r="R279" s="18"/>
    </row>
    <row r="280" spans="16:18" ht="14.25" customHeight="1" x14ac:dyDescent="0.3">
      <c r="P280" s="18"/>
      <c r="Q280" s="18"/>
      <c r="R280" s="18"/>
    </row>
    <row r="281" spans="16:18" ht="14.25" customHeight="1" x14ac:dyDescent="0.3">
      <c r="P281" s="18"/>
      <c r="Q281" s="18"/>
      <c r="R281" s="18"/>
    </row>
    <row r="282" spans="16:18" ht="14.25" customHeight="1" x14ac:dyDescent="0.3">
      <c r="P282" s="18"/>
      <c r="Q282" s="18"/>
      <c r="R282" s="18"/>
    </row>
    <row r="283" spans="16:18" ht="14.25" customHeight="1" x14ac:dyDescent="0.3">
      <c r="P283" s="18"/>
      <c r="Q283" s="18"/>
      <c r="R283" s="18"/>
    </row>
    <row r="284" spans="16:18" ht="14.25" customHeight="1" x14ac:dyDescent="0.3">
      <c r="P284" s="18"/>
      <c r="Q284" s="18"/>
      <c r="R284" s="18"/>
    </row>
    <row r="285" spans="16:18" ht="14.25" customHeight="1" x14ac:dyDescent="0.3">
      <c r="P285" s="18"/>
      <c r="Q285" s="18"/>
      <c r="R285" s="18"/>
    </row>
    <row r="286" spans="16:18" ht="14.25" customHeight="1" x14ac:dyDescent="0.3">
      <c r="P286" s="18"/>
      <c r="Q286" s="18"/>
      <c r="R286" s="18"/>
    </row>
    <row r="287" spans="16:18" ht="14.25" customHeight="1" x14ac:dyDescent="0.3">
      <c r="P287" s="18"/>
      <c r="Q287" s="18"/>
      <c r="R287" s="18"/>
    </row>
    <row r="288" spans="16:18" ht="14.25" customHeight="1" x14ac:dyDescent="0.3">
      <c r="P288" s="18"/>
      <c r="Q288" s="18"/>
      <c r="R288" s="18"/>
    </row>
    <row r="289" spans="16:18" ht="14.25" customHeight="1" x14ac:dyDescent="0.3">
      <c r="P289" s="18"/>
      <c r="Q289" s="18"/>
      <c r="R289" s="18"/>
    </row>
    <row r="290" spans="16:18" ht="14.25" customHeight="1" x14ac:dyDescent="0.3">
      <c r="P290" s="18"/>
      <c r="Q290" s="18"/>
      <c r="R290" s="18"/>
    </row>
    <row r="291" spans="16:18" ht="14.25" customHeight="1" x14ac:dyDescent="0.3">
      <c r="P291" s="18"/>
      <c r="Q291" s="18"/>
      <c r="R291" s="18"/>
    </row>
    <row r="292" spans="16:18" ht="14.25" customHeight="1" x14ac:dyDescent="0.3">
      <c r="P292" s="18"/>
      <c r="Q292" s="18"/>
      <c r="R292" s="18"/>
    </row>
    <row r="293" spans="16:18" ht="14.25" customHeight="1" x14ac:dyDescent="0.3">
      <c r="P293" s="18"/>
      <c r="Q293" s="18"/>
      <c r="R293" s="18"/>
    </row>
    <row r="294" spans="16:18" ht="14.25" customHeight="1" x14ac:dyDescent="0.3">
      <c r="P294" s="18"/>
      <c r="Q294" s="18"/>
      <c r="R294" s="18"/>
    </row>
    <row r="295" spans="16:18" ht="14.25" customHeight="1" x14ac:dyDescent="0.3">
      <c r="P295" s="18"/>
      <c r="Q295" s="18"/>
      <c r="R295" s="18"/>
    </row>
    <row r="296" spans="16:18" ht="14.25" customHeight="1" x14ac:dyDescent="0.3">
      <c r="P296" s="18"/>
      <c r="Q296" s="18"/>
      <c r="R296" s="18"/>
    </row>
    <row r="297" spans="16:18" ht="14.25" customHeight="1" x14ac:dyDescent="0.3">
      <c r="P297" s="18"/>
      <c r="Q297" s="18"/>
      <c r="R297" s="18"/>
    </row>
    <row r="298" spans="16:18" ht="14.25" customHeight="1" x14ac:dyDescent="0.3">
      <c r="P298" s="18"/>
      <c r="Q298" s="18"/>
      <c r="R298" s="18"/>
    </row>
    <row r="299" spans="16:18" ht="14.25" customHeight="1" x14ac:dyDescent="0.3">
      <c r="P299" s="18"/>
      <c r="Q299" s="18"/>
      <c r="R299" s="18"/>
    </row>
    <row r="300" spans="16:18" ht="14.25" customHeight="1" x14ac:dyDescent="0.3">
      <c r="P300" s="18"/>
      <c r="Q300" s="18"/>
      <c r="R300" s="18"/>
    </row>
    <row r="301" spans="16:18" ht="14.25" customHeight="1" x14ac:dyDescent="0.3">
      <c r="P301" s="18"/>
      <c r="Q301" s="18"/>
      <c r="R301" s="18"/>
    </row>
    <row r="302" spans="16:18" ht="14.25" customHeight="1" x14ac:dyDescent="0.3">
      <c r="P302" s="18"/>
      <c r="Q302" s="18"/>
      <c r="R302" s="18"/>
    </row>
    <row r="303" spans="16:18" ht="14.25" customHeight="1" x14ac:dyDescent="0.3">
      <c r="P303" s="18"/>
      <c r="Q303" s="18"/>
      <c r="R303" s="18"/>
    </row>
    <row r="304" spans="16:18" ht="14.25" customHeight="1" x14ac:dyDescent="0.3">
      <c r="P304" s="18"/>
      <c r="Q304" s="18"/>
      <c r="R304" s="18"/>
    </row>
    <row r="305" spans="16:18" ht="14.25" customHeight="1" x14ac:dyDescent="0.3">
      <c r="P305" s="18"/>
      <c r="Q305" s="18"/>
      <c r="R305" s="18"/>
    </row>
    <row r="306" spans="16:18" ht="14.25" customHeight="1" x14ac:dyDescent="0.3">
      <c r="P306" s="18"/>
      <c r="Q306" s="18"/>
      <c r="R306" s="18"/>
    </row>
    <row r="307" spans="16:18" ht="14.25" customHeight="1" x14ac:dyDescent="0.3">
      <c r="P307" s="18"/>
      <c r="Q307" s="18"/>
      <c r="R307" s="18"/>
    </row>
    <row r="308" spans="16:18" ht="14.25" customHeight="1" x14ac:dyDescent="0.3">
      <c r="P308" s="18"/>
      <c r="Q308" s="18"/>
      <c r="R308" s="18"/>
    </row>
    <row r="309" spans="16:18" ht="14.25" customHeight="1" x14ac:dyDescent="0.3">
      <c r="P309" s="18"/>
      <c r="Q309" s="18"/>
      <c r="R309" s="18"/>
    </row>
    <row r="310" spans="16:18" ht="14.25" customHeight="1" x14ac:dyDescent="0.3">
      <c r="P310" s="18"/>
      <c r="Q310" s="18"/>
      <c r="R310" s="18"/>
    </row>
    <row r="311" spans="16:18" ht="14.25" customHeight="1" x14ac:dyDescent="0.3">
      <c r="P311" s="18"/>
      <c r="Q311" s="18"/>
      <c r="R311" s="18"/>
    </row>
    <row r="312" spans="16:18" ht="14.25" customHeight="1" x14ac:dyDescent="0.3">
      <c r="P312" s="18"/>
      <c r="Q312" s="18"/>
      <c r="R312" s="18"/>
    </row>
    <row r="313" spans="16:18" ht="14.25" customHeight="1" x14ac:dyDescent="0.3">
      <c r="P313" s="18"/>
      <c r="Q313" s="18"/>
      <c r="R313" s="18"/>
    </row>
    <row r="314" spans="16:18" ht="14.25" customHeight="1" x14ac:dyDescent="0.3">
      <c r="P314" s="18"/>
      <c r="Q314" s="18"/>
      <c r="R314" s="18"/>
    </row>
    <row r="315" spans="16:18" ht="14.25" customHeight="1" x14ac:dyDescent="0.3">
      <c r="P315" s="18"/>
      <c r="Q315" s="18"/>
      <c r="R315" s="18"/>
    </row>
    <row r="316" spans="16:18" ht="14.25" customHeight="1" x14ac:dyDescent="0.3">
      <c r="P316" s="18"/>
      <c r="Q316" s="18"/>
      <c r="R316" s="18"/>
    </row>
    <row r="317" spans="16:18" ht="14.25" customHeight="1" x14ac:dyDescent="0.3">
      <c r="P317" s="18"/>
      <c r="Q317" s="18"/>
      <c r="R317" s="18"/>
    </row>
    <row r="318" spans="16:18" ht="14.25" customHeight="1" x14ac:dyDescent="0.3">
      <c r="P318" s="18"/>
      <c r="Q318" s="18"/>
      <c r="R318" s="18"/>
    </row>
    <row r="319" spans="16:18" ht="14.25" customHeight="1" x14ac:dyDescent="0.3">
      <c r="P319" s="18"/>
      <c r="Q319" s="18"/>
      <c r="R319" s="18"/>
    </row>
    <row r="320" spans="16:18" ht="14.25" customHeight="1" x14ac:dyDescent="0.3">
      <c r="P320" s="18"/>
      <c r="Q320" s="18"/>
      <c r="R320" s="18"/>
    </row>
    <row r="321" spans="16:18" ht="14.25" customHeight="1" x14ac:dyDescent="0.3">
      <c r="P321" s="18"/>
      <c r="Q321" s="18"/>
      <c r="R321" s="18"/>
    </row>
    <row r="322" spans="16:18" ht="14.25" customHeight="1" x14ac:dyDescent="0.3">
      <c r="P322" s="18"/>
      <c r="Q322" s="18"/>
      <c r="R322" s="18"/>
    </row>
    <row r="323" spans="16:18" ht="14.25" customHeight="1" x14ac:dyDescent="0.3">
      <c r="P323" s="18"/>
      <c r="Q323" s="18"/>
      <c r="R323" s="18"/>
    </row>
    <row r="324" spans="16:18" ht="14.25" customHeight="1" x14ac:dyDescent="0.3">
      <c r="P324" s="18"/>
      <c r="Q324" s="18"/>
      <c r="R324" s="18"/>
    </row>
    <row r="325" spans="16:18" ht="14.25" customHeight="1" x14ac:dyDescent="0.3">
      <c r="P325" s="18"/>
      <c r="Q325" s="18"/>
      <c r="R325" s="18"/>
    </row>
    <row r="326" spans="16:18" ht="14.25" customHeight="1" x14ac:dyDescent="0.3">
      <c r="P326" s="18"/>
      <c r="Q326" s="18"/>
      <c r="R326" s="18"/>
    </row>
    <row r="327" spans="16:18" ht="14.25" customHeight="1" x14ac:dyDescent="0.3">
      <c r="P327" s="18"/>
      <c r="Q327" s="18"/>
      <c r="R327" s="18"/>
    </row>
    <row r="328" spans="16:18" ht="14.25" customHeight="1" x14ac:dyDescent="0.3">
      <c r="P328" s="18"/>
      <c r="Q328" s="18"/>
      <c r="R328" s="18"/>
    </row>
    <row r="329" spans="16:18" ht="14.25" customHeight="1" x14ac:dyDescent="0.3">
      <c r="P329" s="18"/>
      <c r="Q329" s="18"/>
      <c r="R329" s="18"/>
    </row>
    <row r="330" spans="16:18" ht="14.25" customHeight="1" x14ac:dyDescent="0.3">
      <c r="P330" s="18"/>
      <c r="Q330" s="18"/>
      <c r="R330" s="18"/>
    </row>
    <row r="331" spans="16:18" ht="14.25" customHeight="1" x14ac:dyDescent="0.3">
      <c r="P331" s="18"/>
      <c r="Q331" s="18"/>
      <c r="R331" s="18"/>
    </row>
    <row r="332" spans="16:18" ht="14.25" customHeight="1" x14ac:dyDescent="0.3">
      <c r="P332" s="18"/>
      <c r="Q332" s="18"/>
      <c r="R332" s="18"/>
    </row>
    <row r="333" spans="16:18" ht="14.25" customHeight="1" x14ac:dyDescent="0.3">
      <c r="P333" s="18"/>
      <c r="Q333" s="18"/>
      <c r="R333" s="18"/>
    </row>
    <row r="334" spans="16:18" ht="14.25" customHeight="1" x14ac:dyDescent="0.3">
      <c r="P334" s="18"/>
      <c r="Q334" s="18"/>
      <c r="R334" s="18"/>
    </row>
    <row r="335" spans="16:18" ht="14.25" customHeight="1" x14ac:dyDescent="0.3">
      <c r="P335" s="18"/>
      <c r="Q335" s="18"/>
      <c r="R335" s="18"/>
    </row>
    <row r="336" spans="16:18" ht="14.25" customHeight="1" x14ac:dyDescent="0.3">
      <c r="P336" s="18"/>
      <c r="Q336" s="18"/>
      <c r="R336" s="18"/>
    </row>
    <row r="337" spans="16:18" ht="14.25" customHeight="1" x14ac:dyDescent="0.3">
      <c r="P337" s="18"/>
      <c r="Q337" s="18"/>
      <c r="R337" s="18"/>
    </row>
    <row r="338" spans="16:18" ht="14.25" customHeight="1" x14ac:dyDescent="0.3">
      <c r="P338" s="18"/>
      <c r="Q338" s="18"/>
      <c r="R338" s="18"/>
    </row>
    <row r="339" spans="16:18" ht="14.25" customHeight="1" x14ac:dyDescent="0.3">
      <c r="P339" s="18"/>
      <c r="Q339" s="18"/>
      <c r="R339" s="18"/>
    </row>
    <row r="340" spans="16:18" ht="14.25" customHeight="1" x14ac:dyDescent="0.3">
      <c r="P340" s="18"/>
      <c r="Q340" s="18"/>
      <c r="R340" s="18"/>
    </row>
    <row r="341" spans="16:18" ht="14.25" customHeight="1" x14ac:dyDescent="0.3">
      <c r="P341" s="18"/>
      <c r="Q341" s="18"/>
      <c r="R341" s="18"/>
    </row>
    <row r="342" spans="16:18" ht="14.25" customHeight="1" x14ac:dyDescent="0.3">
      <c r="P342" s="18"/>
      <c r="Q342" s="18"/>
      <c r="R342" s="18"/>
    </row>
    <row r="343" spans="16:18" ht="14.25" customHeight="1" x14ac:dyDescent="0.3">
      <c r="P343" s="18"/>
      <c r="Q343" s="18"/>
      <c r="R343" s="18"/>
    </row>
    <row r="344" spans="16:18" ht="14.25" customHeight="1" x14ac:dyDescent="0.3">
      <c r="P344" s="18"/>
      <c r="Q344" s="18"/>
      <c r="R344" s="18"/>
    </row>
    <row r="345" spans="16:18" ht="14.25" customHeight="1" x14ac:dyDescent="0.3">
      <c r="P345" s="18"/>
      <c r="Q345" s="18"/>
      <c r="R345" s="18"/>
    </row>
    <row r="346" spans="16:18" ht="14.25" customHeight="1" x14ac:dyDescent="0.3">
      <c r="P346" s="18"/>
      <c r="Q346" s="18"/>
      <c r="R346" s="18"/>
    </row>
    <row r="347" spans="16:18" ht="14.25" customHeight="1" x14ac:dyDescent="0.3">
      <c r="P347" s="18"/>
      <c r="Q347" s="18"/>
      <c r="R347" s="18"/>
    </row>
    <row r="348" spans="16:18" ht="14.25" customHeight="1" x14ac:dyDescent="0.3">
      <c r="P348" s="18"/>
      <c r="Q348" s="18"/>
      <c r="R348" s="18"/>
    </row>
    <row r="349" spans="16:18" ht="14.25" customHeight="1" x14ac:dyDescent="0.3">
      <c r="P349" s="18"/>
      <c r="Q349" s="18"/>
      <c r="R349" s="18"/>
    </row>
    <row r="350" spans="16:18" ht="14.25" customHeight="1" x14ac:dyDescent="0.3">
      <c r="P350" s="18"/>
      <c r="Q350" s="18"/>
      <c r="R350" s="18"/>
    </row>
    <row r="351" spans="16:18" ht="14.25" customHeight="1" x14ac:dyDescent="0.3">
      <c r="P351" s="18"/>
      <c r="Q351" s="18"/>
      <c r="R351" s="18"/>
    </row>
    <row r="352" spans="16:18" ht="14.25" customHeight="1" x14ac:dyDescent="0.3">
      <c r="P352" s="18"/>
      <c r="Q352" s="18"/>
      <c r="R352" s="18"/>
    </row>
    <row r="353" spans="16:18" ht="14.25" customHeight="1" x14ac:dyDescent="0.3">
      <c r="P353" s="18"/>
      <c r="Q353" s="18"/>
      <c r="R353" s="18"/>
    </row>
    <row r="354" spans="16:18" ht="14.25" customHeight="1" x14ac:dyDescent="0.3">
      <c r="P354" s="18"/>
      <c r="Q354" s="18"/>
      <c r="R354" s="18"/>
    </row>
    <row r="355" spans="16:18" ht="14.25" customHeight="1" x14ac:dyDescent="0.3">
      <c r="P355" s="18"/>
      <c r="Q355" s="18"/>
      <c r="R355" s="18"/>
    </row>
    <row r="356" spans="16:18" ht="14.25" customHeight="1" x14ac:dyDescent="0.3">
      <c r="P356" s="18"/>
      <c r="Q356" s="18"/>
      <c r="R356" s="18"/>
    </row>
    <row r="357" spans="16:18" ht="14.25" customHeight="1" x14ac:dyDescent="0.3">
      <c r="P357" s="18"/>
      <c r="Q357" s="18"/>
      <c r="R357" s="18"/>
    </row>
    <row r="358" spans="16:18" ht="14.25" customHeight="1" x14ac:dyDescent="0.3">
      <c r="P358" s="18"/>
      <c r="Q358" s="18"/>
      <c r="R358" s="18"/>
    </row>
    <row r="359" spans="16:18" ht="14.25" customHeight="1" x14ac:dyDescent="0.3">
      <c r="P359" s="18"/>
      <c r="Q359" s="18"/>
      <c r="R359" s="18"/>
    </row>
    <row r="360" spans="16:18" ht="14.25" customHeight="1" x14ac:dyDescent="0.3">
      <c r="P360" s="18"/>
      <c r="Q360" s="18"/>
      <c r="R360" s="18"/>
    </row>
    <row r="361" spans="16:18" ht="14.25" customHeight="1" x14ac:dyDescent="0.3">
      <c r="P361" s="18"/>
      <c r="Q361" s="18"/>
      <c r="R361" s="18"/>
    </row>
    <row r="362" spans="16:18" ht="14.25" customHeight="1" x14ac:dyDescent="0.3">
      <c r="P362" s="18"/>
      <c r="Q362" s="18"/>
      <c r="R362" s="18"/>
    </row>
    <row r="363" spans="16:18" ht="14.25" customHeight="1" x14ac:dyDescent="0.3">
      <c r="P363" s="18"/>
      <c r="Q363" s="18"/>
      <c r="R363" s="18"/>
    </row>
    <row r="364" spans="16:18" ht="14.25" customHeight="1" x14ac:dyDescent="0.3">
      <c r="P364" s="18"/>
      <c r="Q364" s="18"/>
      <c r="R364" s="18"/>
    </row>
    <row r="365" spans="16:18" ht="14.25" customHeight="1" x14ac:dyDescent="0.3">
      <c r="P365" s="18"/>
      <c r="Q365" s="18"/>
      <c r="R365" s="18"/>
    </row>
    <row r="366" spans="16:18" ht="14.25" customHeight="1" x14ac:dyDescent="0.3">
      <c r="P366" s="18"/>
      <c r="Q366" s="18"/>
      <c r="R366" s="18"/>
    </row>
    <row r="367" spans="16:18" ht="14.25" customHeight="1" x14ac:dyDescent="0.3">
      <c r="P367" s="18"/>
      <c r="Q367" s="18"/>
      <c r="R367" s="18"/>
    </row>
    <row r="368" spans="16:18" ht="14.25" customHeight="1" x14ac:dyDescent="0.3">
      <c r="P368" s="18"/>
      <c r="Q368" s="18"/>
      <c r="R368" s="18"/>
    </row>
    <row r="369" spans="16:18" ht="14.25" customHeight="1" x14ac:dyDescent="0.3">
      <c r="P369" s="18"/>
      <c r="Q369" s="18"/>
      <c r="R369" s="18"/>
    </row>
    <row r="370" spans="16:18" ht="14.25" customHeight="1" x14ac:dyDescent="0.3">
      <c r="P370" s="18"/>
      <c r="Q370" s="18"/>
      <c r="R370" s="18"/>
    </row>
    <row r="371" spans="16:18" ht="14.25" customHeight="1" x14ac:dyDescent="0.3">
      <c r="P371" s="18"/>
      <c r="Q371" s="18"/>
      <c r="R371" s="18"/>
    </row>
    <row r="372" spans="16:18" ht="14.25" customHeight="1" x14ac:dyDescent="0.3">
      <c r="P372" s="18"/>
      <c r="Q372" s="18"/>
      <c r="R372" s="18"/>
    </row>
    <row r="373" spans="16:18" ht="14.25" customHeight="1" x14ac:dyDescent="0.3">
      <c r="P373" s="18"/>
      <c r="Q373" s="18"/>
      <c r="R373" s="18"/>
    </row>
    <row r="374" spans="16:18" ht="14.25" customHeight="1" x14ac:dyDescent="0.3">
      <c r="P374" s="18"/>
      <c r="Q374" s="18"/>
      <c r="R374" s="18"/>
    </row>
    <row r="375" spans="16:18" ht="14.25" customHeight="1" x14ac:dyDescent="0.3">
      <c r="P375" s="18"/>
      <c r="Q375" s="18"/>
      <c r="R375" s="18"/>
    </row>
    <row r="376" spans="16:18" ht="14.25" customHeight="1" x14ac:dyDescent="0.3">
      <c r="P376" s="18"/>
      <c r="Q376" s="18"/>
      <c r="R376" s="18"/>
    </row>
    <row r="377" spans="16:18" ht="14.25" customHeight="1" x14ac:dyDescent="0.3">
      <c r="P377" s="18"/>
      <c r="Q377" s="18"/>
      <c r="R377" s="18"/>
    </row>
    <row r="378" spans="16:18" ht="14.25" customHeight="1" x14ac:dyDescent="0.3">
      <c r="P378" s="18"/>
      <c r="Q378" s="18"/>
      <c r="R378" s="18"/>
    </row>
    <row r="379" spans="16:18" ht="14.25" customHeight="1" x14ac:dyDescent="0.3">
      <c r="P379" s="18"/>
      <c r="Q379" s="18"/>
      <c r="R379" s="18"/>
    </row>
    <row r="380" spans="16:18" ht="14.25" customHeight="1" x14ac:dyDescent="0.3">
      <c r="P380" s="18"/>
      <c r="Q380" s="18"/>
      <c r="R380" s="18"/>
    </row>
    <row r="381" spans="16:18" ht="14.25" customHeight="1" x14ac:dyDescent="0.3">
      <c r="P381" s="18"/>
      <c r="Q381" s="18"/>
      <c r="R381" s="18"/>
    </row>
    <row r="382" spans="16:18" ht="14.25" customHeight="1" x14ac:dyDescent="0.3">
      <c r="P382" s="18"/>
      <c r="Q382" s="18"/>
      <c r="R382" s="18"/>
    </row>
    <row r="383" spans="16:18" ht="14.25" customHeight="1" x14ac:dyDescent="0.3">
      <c r="P383" s="18"/>
      <c r="Q383" s="18"/>
      <c r="R383" s="18"/>
    </row>
    <row r="384" spans="16:18" ht="14.25" customHeight="1" x14ac:dyDescent="0.3">
      <c r="P384" s="18"/>
      <c r="Q384" s="18"/>
      <c r="R384" s="18"/>
    </row>
    <row r="385" spans="16:18" ht="14.25" customHeight="1" x14ac:dyDescent="0.3">
      <c r="P385" s="18"/>
      <c r="Q385" s="18"/>
      <c r="R385" s="18"/>
    </row>
    <row r="386" spans="16:18" ht="14.25" customHeight="1" x14ac:dyDescent="0.3">
      <c r="P386" s="18"/>
      <c r="Q386" s="18"/>
      <c r="R386" s="18"/>
    </row>
    <row r="387" spans="16:18" ht="14.25" customHeight="1" x14ac:dyDescent="0.3">
      <c r="P387" s="18"/>
      <c r="Q387" s="18"/>
      <c r="R387" s="18"/>
    </row>
    <row r="388" spans="16:18" ht="14.25" customHeight="1" x14ac:dyDescent="0.3">
      <c r="P388" s="18"/>
      <c r="Q388" s="18"/>
      <c r="R388" s="18"/>
    </row>
    <row r="389" spans="16:18" ht="14.25" customHeight="1" x14ac:dyDescent="0.3">
      <c r="P389" s="18"/>
      <c r="Q389" s="18"/>
      <c r="R389" s="18"/>
    </row>
    <row r="390" spans="16:18" ht="14.25" customHeight="1" x14ac:dyDescent="0.3">
      <c r="P390" s="18"/>
      <c r="Q390" s="18"/>
      <c r="R390" s="18"/>
    </row>
    <row r="391" spans="16:18" ht="14.25" customHeight="1" x14ac:dyDescent="0.3">
      <c r="P391" s="18"/>
      <c r="Q391" s="18"/>
      <c r="R391" s="18"/>
    </row>
    <row r="392" spans="16:18" ht="14.25" customHeight="1" x14ac:dyDescent="0.3">
      <c r="P392" s="18"/>
      <c r="Q392" s="18"/>
      <c r="R392" s="18"/>
    </row>
    <row r="393" spans="16:18" ht="14.25" customHeight="1" x14ac:dyDescent="0.3">
      <c r="P393" s="18"/>
      <c r="Q393" s="18"/>
      <c r="R393" s="18"/>
    </row>
    <row r="394" spans="16:18" ht="14.25" customHeight="1" x14ac:dyDescent="0.3">
      <c r="P394" s="18"/>
      <c r="Q394" s="18"/>
      <c r="R394" s="18"/>
    </row>
    <row r="395" spans="16:18" ht="14.25" customHeight="1" x14ac:dyDescent="0.3">
      <c r="P395" s="18"/>
      <c r="Q395" s="18"/>
      <c r="R395" s="18"/>
    </row>
    <row r="396" spans="16:18" ht="14.25" customHeight="1" x14ac:dyDescent="0.3">
      <c r="P396" s="18"/>
      <c r="Q396" s="18"/>
      <c r="R396" s="18"/>
    </row>
    <row r="397" spans="16:18" ht="14.25" customHeight="1" x14ac:dyDescent="0.3">
      <c r="P397" s="18"/>
      <c r="Q397" s="18"/>
      <c r="R397" s="18"/>
    </row>
    <row r="398" spans="16:18" ht="14.25" customHeight="1" x14ac:dyDescent="0.3">
      <c r="P398" s="18"/>
      <c r="Q398" s="18"/>
      <c r="R398" s="18"/>
    </row>
    <row r="399" spans="16:18" ht="14.25" customHeight="1" x14ac:dyDescent="0.3">
      <c r="P399" s="18"/>
      <c r="Q399" s="18"/>
      <c r="R399" s="18"/>
    </row>
    <row r="400" spans="16:18" ht="14.25" customHeight="1" x14ac:dyDescent="0.3">
      <c r="P400" s="18"/>
      <c r="Q400" s="18"/>
      <c r="R400" s="18"/>
    </row>
    <row r="401" spans="16:18" ht="14.25" customHeight="1" x14ac:dyDescent="0.3">
      <c r="P401" s="18"/>
      <c r="Q401" s="18"/>
      <c r="R401" s="18"/>
    </row>
    <row r="402" spans="16:18" ht="14.25" customHeight="1" x14ac:dyDescent="0.3">
      <c r="P402" s="18"/>
      <c r="Q402" s="18"/>
      <c r="R402" s="18"/>
    </row>
    <row r="403" spans="16:18" ht="14.25" customHeight="1" x14ac:dyDescent="0.3">
      <c r="P403" s="18"/>
      <c r="Q403" s="18"/>
      <c r="R403" s="18"/>
    </row>
    <row r="404" spans="16:18" ht="14.25" customHeight="1" x14ac:dyDescent="0.3">
      <c r="P404" s="18"/>
      <c r="Q404" s="18"/>
      <c r="R404" s="18"/>
    </row>
    <row r="405" spans="16:18" ht="14.25" customHeight="1" x14ac:dyDescent="0.3">
      <c r="P405" s="18"/>
      <c r="Q405" s="18"/>
      <c r="R405" s="18"/>
    </row>
    <row r="406" spans="16:18" ht="14.25" customHeight="1" x14ac:dyDescent="0.3">
      <c r="P406" s="18"/>
      <c r="Q406" s="18"/>
      <c r="R406" s="18"/>
    </row>
    <row r="407" spans="16:18" ht="14.25" customHeight="1" x14ac:dyDescent="0.3">
      <c r="P407" s="18"/>
      <c r="Q407" s="18"/>
      <c r="R407" s="18"/>
    </row>
    <row r="408" spans="16:18" ht="14.25" customHeight="1" x14ac:dyDescent="0.3">
      <c r="P408" s="18"/>
      <c r="Q408" s="18"/>
      <c r="R408" s="18"/>
    </row>
    <row r="409" spans="16:18" ht="14.25" customHeight="1" x14ac:dyDescent="0.3">
      <c r="P409" s="18"/>
      <c r="Q409" s="18"/>
      <c r="R409" s="18"/>
    </row>
    <row r="410" spans="16:18" ht="14.25" customHeight="1" x14ac:dyDescent="0.3">
      <c r="P410" s="18"/>
      <c r="Q410" s="18"/>
      <c r="R410" s="18"/>
    </row>
    <row r="411" spans="16:18" ht="14.25" customHeight="1" x14ac:dyDescent="0.3">
      <c r="P411" s="18"/>
      <c r="Q411" s="18"/>
      <c r="R411" s="18"/>
    </row>
    <row r="412" spans="16:18" ht="14.25" customHeight="1" x14ac:dyDescent="0.3">
      <c r="P412" s="18"/>
      <c r="Q412" s="18"/>
      <c r="R412" s="18"/>
    </row>
    <row r="413" spans="16:18" ht="14.25" customHeight="1" x14ac:dyDescent="0.3">
      <c r="P413" s="18"/>
      <c r="Q413" s="18"/>
      <c r="R413" s="18"/>
    </row>
    <row r="414" spans="16:18" ht="14.25" customHeight="1" x14ac:dyDescent="0.3">
      <c r="P414" s="18"/>
      <c r="Q414" s="18"/>
      <c r="R414" s="18"/>
    </row>
    <row r="415" spans="16:18" ht="14.25" customHeight="1" x14ac:dyDescent="0.3">
      <c r="P415" s="18"/>
      <c r="Q415" s="18"/>
      <c r="R415" s="18"/>
    </row>
    <row r="416" spans="16:18" ht="14.25" customHeight="1" x14ac:dyDescent="0.3">
      <c r="P416" s="18"/>
      <c r="Q416" s="18"/>
      <c r="R416" s="18"/>
    </row>
    <row r="417" spans="16:18" ht="14.25" customHeight="1" x14ac:dyDescent="0.3">
      <c r="P417" s="18"/>
      <c r="Q417" s="18"/>
      <c r="R417" s="18"/>
    </row>
    <row r="418" spans="16:18" ht="14.25" customHeight="1" x14ac:dyDescent="0.3">
      <c r="P418" s="18"/>
      <c r="Q418" s="18"/>
      <c r="R418" s="18"/>
    </row>
    <row r="419" spans="16:18" ht="14.25" customHeight="1" x14ac:dyDescent="0.3">
      <c r="P419" s="18"/>
      <c r="Q419" s="18"/>
      <c r="R419" s="18"/>
    </row>
    <row r="420" spans="16:18" ht="14.25" customHeight="1" x14ac:dyDescent="0.3">
      <c r="P420" s="18"/>
      <c r="Q420" s="18"/>
      <c r="R420" s="18"/>
    </row>
    <row r="421" spans="16:18" ht="14.25" customHeight="1" x14ac:dyDescent="0.3">
      <c r="P421" s="18"/>
      <c r="Q421" s="18"/>
      <c r="R421" s="18"/>
    </row>
    <row r="422" spans="16:18" ht="14.25" customHeight="1" x14ac:dyDescent="0.3">
      <c r="P422" s="18"/>
      <c r="Q422" s="18"/>
      <c r="R422" s="18"/>
    </row>
    <row r="423" spans="16:18" ht="14.25" customHeight="1" x14ac:dyDescent="0.3">
      <c r="P423" s="18"/>
      <c r="Q423" s="18"/>
      <c r="R423" s="18"/>
    </row>
    <row r="424" spans="16:18" ht="14.25" customHeight="1" x14ac:dyDescent="0.3">
      <c r="P424" s="18"/>
      <c r="Q424" s="18"/>
      <c r="R424" s="18"/>
    </row>
    <row r="425" spans="16:18" ht="14.25" customHeight="1" x14ac:dyDescent="0.3">
      <c r="P425" s="18"/>
      <c r="Q425" s="18"/>
      <c r="R425" s="18"/>
    </row>
    <row r="426" spans="16:18" ht="14.25" customHeight="1" x14ac:dyDescent="0.3">
      <c r="P426" s="18"/>
      <c r="Q426" s="18"/>
      <c r="R426" s="18"/>
    </row>
    <row r="427" spans="16:18" ht="14.25" customHeight="1" x14ac:dyDescent="0.3">
      <c r="P427" s="18"/>
      <c r="Q427" s="18"/>
      <c r="R427" s="18"/>
    </row>
    <row r="428" spans="16:18" ht="14.25" customHeight="1" x14ac:dyDescent="0.3">
      <c r="P428" s="18"/>
      <c r="Q428" s="18"/>
      <c r="R428" s="18"/>
    </row>
    <row r="429" spans="16:18" ht="14.25" customHeight="1" x14ac:dyDescent="0.3">
      <c r="P429" s="18"/>
      <c r="Q429" s="18"/>
      <c r="R429" s="18"/>
    </row>
    <row r="430" spans="16:18" ht="14.25" customHeight="1" x14ac:dyDescent="0.3">
      <c r="P430" s="18"/>
      <c r="Q430" s="18"/>
      <c r="R430" s="18"/>
    </row>
    <row r="431" spans="16:18" ht="14.25" customHeight="1" x14ac:dyDescent="0.3">
      <c r="P431" s="18"/>
      <c r="Q431" s="18"/>
      <c r="R431" s="18"/>
    </row>
    <row r="432" spans="16:18" ht="14.25" customHeight="1" x14ac:dyDescent="0.3">
      <c r="P432" s="18"/>
      <c r="Q432" s="18"/>
      <c r="R432" s="18"/>
    </row>
    <row r="433" spans="16:18" ht="14.25" customHeight="1" x14ac:dyDescent="0.3">
      <c r="P433" s="18"/>
      <c r="Q433" s="18"/>
      <c r="R433" s="18"/>
    </row>
    <row r="434" spans="16:18" ht="14.25" customHeight="1" x14ac:dyDescent="0.3">
      <c r="P434" s="18"/>
      <c r="Q434" s="18"/>
      <c r="R434" s="18"/>
    </row>
    <row r="435" spans="16:18" ht="14.25" customHeight="1" x14ac:dyDescent="0.3">
      <c r="P435" s="18"/>
      <c r="Q435" s="18"/>
      <c r="R435" s="18"/>
    </row>
    <row r="436" spans="16:18" ht="14.25" customHeight="1" x14ac:dyDescent="0.3">
      <c r="P436" s="18"/>
      <c r="Q436" s="18"/>
      <c r="R436" s="18"/>
    </row>
    <row r="437" spans="16:18" ht="14.25" customHeight="1" x14ac:dyDescent="0.3">
      <c r="P437" s="18"/>
      <c r="Q437" s="18"/>
      <c r="R437" s="18"/>
    </row>
    <row r="438" spans="16:18" ht="14.25" customHeight="1" x14ac:dyDescent="0.3">
      <c r="P438" s="18"/>
      <c r="Q438" s="18"/>
      <c r="R438" s="18"/>
    </row>
    <row r="439" spans="16:18" ht="14.25" customHeight="1" x14ac:dyDescent="0.3">
      <c r="P439" s="18"/>
      <c r="Q439" s="18"/>
      <c r="R439" s="18"/>
    </row>
    <row r="440" spans="16:18" ht="14.25" customHeight="1" x14ac:dyDescent="0.3">
      <c r="P440" s="18"/>
      <c r="Q440" s="18"/>
      <c r="R440" s="18"/>
    </row>
    <row r="441" spans="16:18" ht="14.25" customHeight="1" x14ac:dyDescent="0.3">
      <c r="P441" s="18"/>
      <c r="Q441" s="18"/>
      <c r="R441" s="18"/>
    </row>
    <row r="442" spans="16:18" ht="14.25" customHeight="1" x14ac:dyDescent="0.3">
      <c r="P442" s="18"/>
      <c r="Q442" s="18"/>
      <c r="R442" s="18"/>
    </row>
    <row r="443" spans="16:18" ht="14.25" customHeight="1" x14ac:dyDescent="0.3">
      <c r="P443" s="18"/>
      <c r="Q443" s="18"/>
      <c r="R443" s="18"/>
    </row>
    <row r="444" spans="16:18" ht="14.25" customHeight="1" x14ac:dyDescent="0.3">
      <c r="P444" s="18"/>
      <c r="Q444" s="18"/>
      <c r="R444" s="18"/>
    </row>
    <row r="445" spans="16:18" ht="14.25" customHeight="1" x14ac:dyDescent="0.3">
      <c r="P445" s="18"/>
      <c r="Q445" s="18"/>
      <c r="R445" s="18"/>
    </row>
    <row r="446" spans="16:18" ht="14.25" customHeight="1" x14ac:dyDescent="0.3">
      <c r="P446" s="18"/>
      <c r="Q446" s="18"/>
      <c r="R446" s="18"/>
    </row>
    <row r="447" spans="16:18" ht="14.25" customHeight="1" x14ac:dyDescent="0.3">
      <c r="P447" s="18"/>
      <c r="Q447" s="18"/>
      <c r="R447" s="18"/>
    </row>
    <row r="448" spans="16:18" ht="14.25" customHeight="1" x14ac:dyDescent="0.3">
      <c r="P448" s="18"/>
      <c r="Q448" s="18"/>
      <c r="R448" s="18"/>
    </row>
    <row r="449" spans="16:18" ht="14.25" customHeight="1" x14ac:dyDescent="0.3">
      <c r="P449" s="18"/>
      <c r="Q449" s="18"/>
      <c r="R449" s="18"/>
    </row>
    <row r="450" spans="16:18" ht="14.25" customHeight="1" x14ac:dyDescent="0.3">
      <c r="P450" s="18"/>
      <c r="Q450" s="18"/>
      <c r="R450" s="18"/>
    </row>
    <row r="451" spans="16:18" ht="14.25" customHeight="1" x14ac:dyDescent="0.3">
      <c r="P451" s="18"/>
      <c r="Q451" s="18"/>
      <c r="R451" s="18"/>
    </row>
    <row r="452" spans="16:18" ht="14.25" customHeight="1" x14ac:dyDescent="0.3">
      <c r="P452" s="18"/>
      <c r="Q452" s="18"/>
      <c r="R452" s="18"/>
    </row>
    <row r="453" spans="16:18" ht="14.25" customHeight="1" x14ac:dyDescent="0.3">
      <c r="P453" s="18"/>
      <c r="Q453" s="18"/>
      <c r="R453" s="18"/>
    </row>
    <row r="454" spans="16:18" ht="14.25" customHeight="1" x14ac:dyDescent="0.3">
      <c r="P454" s="18"/>
      <c r="Q454" s="18"/>
      <c r="R454" s="18"/>
    </row>
    <row r="455" spans="16:18" ht="14.25" customHeight="1" x14ac:dyDescent="0.3">
      <c r="P455" s="18"/>
      <c r="Q455" s="18"/>
      <c r="R455" s="18"/>
    </row>
    <row r="456" spans="16:18" ht="14.25" customHeight="1" x14ac:dyDescent="0.3">
      <c r="P456" s="18"/>
      <c r="Q456" s="18"/>
      <c r="R456" s="18"/>
    </row>
    <row r="457" spans="16:18" ht="14.25" customHeight="1" x14ac:dyDescent="0.3">
      <c r="P457" s="18"/>
      <c r="Q457" s="18"/>
      <c r="R457" s="18"/>
    </row>
    <row r="458" spans="16:18" ht="14.25" customHeight="1" x14ac:dyDescent="0.3">
      <c r="P458" s="18"/>
      <c r="Q458" s="18"/>
      <c r="R458" s="18"/>
    </row>
    <row r="459" spans="16:18" ht="14.25" customHeight="1" x14ac:dyDescent="0.3">
      <c r="P459" s="18"/>
      <c r="Q459" s="18"/>
      <c r="R459" s="18"/>
    </row>
    <row r="460" spans="16:18" ht="14.25" customHeight="1" x14ac:dyDescent="0.3">
      <c r="P460" s="18"/>
      <c r="Q460" s="18"/>
      <c r="R460" s="18"/>
    </row>
    <row r="461" spans="16:18" ht="14.25" customHeight="1" x14ac:dyDescent="0.3">
      <c r="P461" s="18"/>
      <c r="Q461" s="18"/>
      <c r="R461" s="18"/>
    </row>
    <row r="462" spans="16:18" ht="14.25" customHeight="1" x14ac:dyDescent="0.3">
      <c r="P462" s="18"/>
      <c r="Q462" s="18"/>
      <c r="R462" s="18"/>
    </row>
    <row r="463" spans="16:18" ht="14.25" customHeight="1" x14ac:dyDescent="0.3">
      <c r="P463" s="18"/>
      <c r="Q463" s="18"/>
      <c r="R463" s="18"/>
    </row>
    <row r="464" spans="16:18" ht="14.25" customHeight="1" x14ac:dyDescent="0.3">
      <c r="P464" s="18"/>
      <c r="Q464" s="18"/>
      <c r="R464" s="18"/>
    </row>
    <row r="465" spans="16:18" ht="14.25" customHeight="1" x14ac:dyDescent="0.3">
      <c r="P465" s="18"/>
      <c r="Q465" s="18"/>
      <c r="R465" s="18"/>
    </row>
    <row r="466" spans="16:18" ht="14.25" customHeight="1" x14ac:dyDescent="0.3">
      <c r="P466" s="18"/>
      <c r="Q466" s="18"/>
      <c r="R466" s="18"/>
    </row>
    <row r="467" spans="16:18" ht="14.25" customHeight="1" x14ac:dyDescent="0.3">
      <c r="P467" s="18"/>
      <c r="Q467" s="18"/>
      <c r="R467" s="18"/>
    </row>
    <row r="468" spans="16:18" ht="14.25" customHeight="1" x14ac:dyDescent="0.3">
      <c r="P468" s="18"/>
      <c r="Q468" s="18"/>
      <c r="R468" s="18"/>
    </row>
    <row r="469" spans="16:18" ht="14.25" customHeight="1" x14ac:dyDescent="0.3">
      <c r="P469" s="18"/>
      <c r="Q469" s="18"/>
      <c r="R469" s="18"/>
    </row>
    <row r="470" spans="16:18" ht="14.25" customHeight="1" x14ac:dyDescent="0.3">
      <c r="P470" s="18"/>
      <c r="Q470" s="18"/>
      <c r="R470" s="18"/>
    </row>
    <row r="471" spans="16:18" ht="14.25" customHeight="1" x14ac:dyDescent="0.3">
      <c r="P471" s="18"/>
      <c r="Q471" s="18"/>
      <c r="R471" s="18"/>
    </row>
    <row r="472" spans="16:18" ht="14.25" customHeight="1" x14ac:dyDescent="0.3">
      <c r="P472" s="18"/>
      <c r="Q472" s="18"/>
      <c r="R472" s="18"/>
    </row>
    <row r="473" spans="16:18" ht="14.25" customHeight="1" x14ac:dyDescent="0.3">
      <c r="P473" s="18"/>
      <c r="Q473" s="18"/>
      <c r="R473" s="18"/>
    </row>
    <row r="474" spans="16:18" ht="14.25" customHeight="1" x14ac:dyDescent="0.3">
      <c r="P474" s="18"/>
      <c r="Q474" s="18"/>
      <c r="R474" s="18"/>
    </row>
    <row r="475" spans="16:18" ht="14.25" customHeight="1" x14ac:dyDescent="0.3">
      <c r="P475" s="18"/>
      <c r="Q475" s="18"/>
      <c r="R475" s="18"/>
    </row>
    <row r="476" spans="16:18" ht="14.25" customHeight="1" x14ac:dyDescent="0.3">
      <c r="P476" s="18"/>
      <c r="Q476" s="18"/>
      <c r="R476" s="18"/>
    </row>
    <row r="477" spans="16:18" ht="14.25" customHeight="1" x14ac:dyDescent="0.3">
      <c r="P477" s="18"/>
      <c r="Q477" s="18"/>
      <c r="R477" s="18"/>
    </row>
    <row r="478" spans="16:18" ht="14.25" customHeight="1" x14ac:dyDescent="0.3">
      <c r="P478" s="18"/>
      <c r="Q478" s="18"/>
      <c r="R478" s="18"/>
    </row>
    <row r="479" spans="16:18" ht="14.25" customHeight="1" x14ac:dyDescent="0.3">
      <c r="P479" s="18"/>
      <c r="Q479" s="18"/>
      <c r="R479" s="18"/>
    </row>
    <row r="480" spans="16:18" ht="14.25" customHeight="1" x14ac:dyDescent="0.3">
      <c r="P480" s="18"/>
      <c r="Q480" s="18"/>
      <c r="R480" s="18"/>
    </row>
    <row r="481" spans="16:18" ht="14.25" customHeight="1" x14ac:dyDescent="0.3">
      <c r="P481" s="18"/>
      <c r="Q481" s="18"/>
      <c r="R481" s="18"/>
    </row>
    <row r="482" spans="16:18" ht="14.25" customHeight="1" x14ac:dyDescent="0.3">
      <c r="P482" s="18"/>
      <c r="Q482" s="18"/>
      <c r="R482" s="18"/>
    </row>
    <row r="483" spans="16:18" ht="14.25" customHeight="1" x14ac:dyDescent="0.3">
      <c r="P483" s="18"/>
      <c r="Q483" s="18"/>
      <c r="R483" s="18"/>
    </row>
    <row r="484" spans="16:18" ht="14.25" customHeight="1" x14ac:dyDescent="0.3">
      <c r="P484" s="18"/>
      <c r="Q484" s="18"/>
      <c r="R484" s="18"/>
    </row>
    <row r="485" spans="16:18" ht="14.25" customHeight="1" x14ac:dyDescent="0.3">
      <c r="P485" s="18"/>
      <c r="Q485" s="18"/>
      <c r="R485" s="18"/>
    </row>
    <row r="486" spans="16:18" ht="14.25" customHeight="1" x14ac:dyDescent="0.3">
      <c r="P486" s="18"/>
      <c r="Q486" s="18"/>
      <c r="R486" s="18"/>
    </row>
    <row r="487" spans="16:18" ht="14.25" customHeight="1" x14ac:dyDescent="0.3">
      <c r="P487" s="18"/>
      <c r="Q487" s="18"/>
      <c r="R487" s="18"/>
    </row>
    <row r="488" spans="16:18" ht="14.25" customHeight="1" x14ac:dyDescent="0.3">
      <c r="P488" s="18"/>
      <c r="Q488" s="18"/>
      <c r="R488" s="18"/>
    </row>
    <row r="489" spans="16:18" ht="14.25" customHeight="1" x14ac:dyDescent="0.3">
      <c r="P489" s="18"/>
      <c r="Q489" s="18"/>
      <c r="R489" s="18"/>
    </row>
    <row r="490" spans="16:18" ht="14.25" customHeight="1" x14ac:dyDescent="0.3">
      <c r="P490" s="18"/>
      <c r="Q490" s="18"/>
      <c r="R490" s="18"/>
    </row>
    <row r="491" spans="16:18" ht="14.25" customHeight="1" x14ac:dyDescent="0.3">
      <c r="P491" s="18"/>
      <c r="Q491" s="18"/>
      <c r="R491" s="18"/>
    </row>
    <row r="492" spans="16:18" ht="14.25" customHeight="1" x14ac:dyDescent="0.3">
      <c r="P492" s="18"/>
      <c r="Q492" s="18"/>
      <c r="R492" s="18"/>
    </row>
    <row r="493" spans="16:18" ht="14.25" customHeight="1" x14ac:dyDescent="0.3">
      <c r="P493" s="18"/>
      <c r="Q493" s="18"/>
      <c r="R493" s="18"/>
    </row>
    <row r="494" spans="16:18" ht="14.25" customHeight="1" x14ac:dyDescent="0.3">
      <c r="P494" s="18"/>
      <c r="Q494" s="18"/>
      <c r="R494" s="18"/>
    </row>
    <row r="495" spans="16:18" ht="14.25" customHeight="1" x14ac:dyDescent="0.3">
      <c r="P495" s="18"/>
      <c r="Q495" s="18"/>
      <c r="R495" s="18"/>
    </row>
    <row r="496" spans="16:18" ht="14.25" customHeight="1" x14ac:dyDescent="0.3">
      <c r="P496" s="18"/>
      <c r="Q496" s="18"/>
      <c r="R496" s="18"/>
    </row>
    <row r="497" spans="16:18" ht="14.25" customHeight="1" x14ac:dyDescent="0.3">
      <c r="P497" s="18"/>
      <c r="Q497" s="18"/>
      <c r="R497" s="18"/>
    </row>
    <row r="498" spans="16:18" ht="14.25" customHeight="1" x14ac:dyDescent="0.3">
      <c r="P498" s="18"/>
      <c r="Q498" s="18"/>
      <c r="R498" s="18"/>
    </row>
    <row r="499" spans="16:18" ht="14.25" customHeight="1" x14ac:dyDescent="0.3">
      <c r="P499" s="18"/>
      <c r="Q499" s="18"/>
      <c r="R499" s="18"/>
    </row>
    <row r="500" spans="16:18" ht="14.25" customHeight="1" x14ac:dyDescent="0.3">
      <c r="P500" s="18"/>
      <c r="Q500" s="18"/>
      <c r="R500" s="18"/>
    </row>
    <row r="501" spans="16:18" ht="14.25" customHeight="1" x14ac:dyDescent="0.3">
      <c r="P501" s="18"/>
      <c r="Q501" s="18"/>
      <c r="R501" s="18"/>
    </row>
    <row r="502" spans="16:18" ht="14.25" customHeight="1" x14ac:dyDescent="0.3">
      <c r="P502" s="18"/>
      <c r="Q502" s="18"/>
      <c r="R502" s="18"/>
    </row>
    <row r="503" spans="16:18" ht="14.25" customHeight="1" x14ac:dyDescent="0.3">
      <c r="P503" s="18"/>
      <c r="Q503" s="18"/>
      <c r="R503" s="18"/>
    </row>
    <row r="504" spans="16:18" ht="14.25" customHeight="1" x14ac:dyDescent="0.3">
      <c r="P504" s="18"/>
      <c r="Q504" s="18"/>
      <c r="R504" s="18"/>
    </row>
    <row r="505" spans="16:18" ht="14.25" customHeight="1" x14ac:dyDescent="0.3">
      <c r="P505" s="18"/>
      <c r="Q505" s="18"/>
      <c r="R505" s="18"/>
    </row>
    <row r="506" spans="16:18" ht="14.25" customHeight="1" x14ac:dyDescent="0.3">
      <c r="P506" s="18"/>
      <c r="Q506" s="18"/>
      <c r="R506" s="18"/>
    </row>
    <row r="507" spans="16:18" ht="14.25" customHeight="1" x14ac:dyDescent="0.3">
      <c r="P507" s="18"/>
      <c r="Q507" s="18"/>
      <c r="R507" s="18"/>
    </row>
    <row r="508" spans="16:18" ht="14.25" customHeight="1" x14ac:dyDescent="0.3">
      <c r="P508" s="18"/>
      <c r="Q508" s="18"/>
      <c r="R508" s="18"/>
    </row>
    <row r="509" spans="16:18" ht="14.25" customHeight="1" x14ac:dyDescent="0.3">
      <c r="P509" s="18"/>
      <c r="Q509" s="18"/>
      <c r="R509" s="18"/>
    </row>
    <row r="510" spans="16:18" ht="14.25" customHeight="1" x14ac:dyDescent="0.3">
      <c r="P510" s="18"/>
      <c r="Q510" s="18"/>
      <c r="R510" s="18"/>
    </row>
    <row r="511" spans="16:18" ht="14.25" customHeight="1" x14ac:dyDescent="0.3">
      <c r="P511" s="18"/>
      <c r="Q511" s="18"/>
      <c r="R511" s="18"/>
    </row>
    <row r="512" spans="16:18" ht="14.25" customHeight="1" x14ac:dyDescent="0.3">
      <c r="P512" s="18"/>
      <c r="Q512" s="18"/>
      <c r="R512" s="18"/>
    </row>
    <row r="513" spans="16:18" ht="14.25" customHeight="1" x14ac:dyDescent="0.3">
      <c r="P513" s="18"/>
      <c r="Q513" s="18"/>
      <c r="R513" s="18"/>
    </row>
    <row r="514" spans="16:18" ht="14.25" customHeight="1" x14ac:dyDescent="0.3">
      <c r="P514" s="18"/>
      <c r="Q514" s="18"/>
      <c r="R514" s="18"/>
    </row>
    <row r="515" spans="16:18" ht="14.25" customHeight="1" x14ac:dyDescent="0.3">
      <c r="P515" s="18"/>
      <c r="Q515" s="18"/>
      <c r="R515" s="18"/>
    </row>
    <row r="516" spans="16:18" ht="14.25" customHeight="1" x14ac:dyDescent="0.3">
      <c r="P516" s="18"/>
      <c r="Q516" s="18"/>
      <c r="R516" s="18"/>
    </row>
    <row r="517" spans="16:18" ht="14.25" customHeight="1" x14ac:dyDescent="0.3">
      <c r="P517" s="18"/>
      <c r="Q517" s="18"/>
      <c r="R517" s="18"/>
    </row>
    <row r="518" spans="16:18" ht="14.25" customHeight="1" x14ac:dyDescent="0.3">
      <c r="P518" s="18"/>
      <c r="Q518" s="18"/>
      <c r="R518" s="18"/>
    </row>
    <row r="519" spans="16:18" ht="14.25" customHeight="1" x14ac:dyDescent="0.3">
      <c r="P519" s="18"/>
      <c r="Q519" s="18"/>
      <c r="R519" s="18"/>
    </row>
    <row r="520" spans="16:18" ht="14.25" customHeight="1" x14ac:dyDescent="0.3">
      <c r="P520" s="18"/>
      <c r="Q520" s="18"/>
      <c r="R520" s="18"/>
    </row>
    <row r="521" spans="16:18" ht="14.25" customHeight="1" x14ac:dyDescent="0.3">
      <c r="P521" s="18"/>
      <c r="Q521" s="18"/>
      <c r="R521" s="18"/>
    </row>
    <row r="522" spans="16:18" ht="14.25" customHeight="1" x14ac:dyDescent="0.3">
      <c r="P522" s="18"/>
      <c r="Q522" s="18"/>
      <c r="R522" s="18"/>
    </row>
    <row r="523" spans="16:18" ht="14.25" customHeight="1" x14ac:dyDescent="0.3">
      <c r="P523" s="18"/>
      <c r="Q523" s="18"/>
      <c r="R523" s="18"/>
    </row>
    <row r="524" spans="16:18" ht="14.25" customHeight="1" x14ac:dyDescent="0.3">
      <c r="P524" s="18"/>
      <c r="Q524" s="18"/>
      <c r="R524" s="18"/>
    </row>
    <row r="525" spans="16:18" ht="14.25" customHeight="1" x14ac:dyDescent="0.3">
      <c r="P525" s="18"/>
      <c r="Q525" s="18"/>
      <c r="R525" s="18"/>
    </row>
    <row r="526" spans="16:18" ht="14.25" customHeight="1" x14ac:dyDescent="0.3">
      <c r="P526" s="18"/>
      <c r="Q526" s="18"/>
      <c r="R526" s="18"/>
    </row>
    <row r="527" spans="16:18" ht="14.25" customHeight="1" x14ac:dyDescent="0.3">
      <c r="P527" s="18"/>
      <c r="Q527" s="18"/>
      <c r="R527" s="18"/>
    </row>
    <row r="528" spans="16:18" ht="14.25" customHeight="1" x14ac:dyDescent="0.3">
      <c r="P528" s="18"/>
      <c r="Q528" s="18"/>
      <c r="R528" s="18"/>
    </row>
    <row r="529" spans="16:18" ht="14.25" customHeight="1" x14ac:dyDescent="0.3">
      <c r="P529" s="18"/>
      <c r="Q529" s="18"/>
      <c r="R529" s="18"/>
    </row>
    <row r="530" spans="16:18" ht="14.25" customHeight="1" x14ac:dyDescent="0.3">
      <c r="P530" s="18"/>
      <c r="Q530" s="18"/>
      <c r="R530" s="18"/>
    </row>
    <row r="531" spans="16:18" ht="14.25" customHeight="1" x14ac:dyDescent="0.3">
      <c r="P531" s="18"/>
      <c r="Q531" s="18"/>
      <c r="R531" s="18"/>
    </row>
    <row r="532" spans="16:18" ht="14.25" customHeight="1" x14ac:dyDescent="0.3">
      <c r="P532" s="18"/>
      <c r="Q532" s="18"/>
      <c r="R532" s="18"/>
    </row>
    <row r="533" spans="16:18" ht="14.25" customHeight="1" x14ac:dyDescent="0.3">
      <c r="P533" s="18"/>
      <c r="Q533" s="18"/>
      <c r="R533" s="18"/>
    </row>
    <row r="534" spans="16:18" ht="14.25" customHeight="1" x14ac:dyDescent="0.3">
      <c r="P534" s="18"/>
      <c r="Q534" s="18"/>
      <c r="R534" s="18"/>
    </row>
    <row r="535" spans="16:18" ht="14.25" customHeight="1" x14ac:dyDescent="0.3">
      <c r="P535" s="18"/>
      <c r="Q535" s="18"/>
      <c r="R535" s="18"/>
    </row>
    <row r="536" spans="16:18" ht="14.25" customHeight="1" x14ac:dyDescent="0.3">
      <c r="P536" s="18"/>
      <c r="Q536" s="18"/>
      <c r="R536" s="18"/>
    </row>
    <row r="537" spans="16:18" ht="14.25" customHeight="1" x14ac:dyDescent="0.3">
      <c r="P537" s="18"/>
      <c r="Q537" s="18"/>
      <c r="R537" s="18"/>
    </row>
    <row r="538" spans="16:18" ht="14.25" customHeight="1" x14ac:dyDescent="0.3">
      <c r="P538" s="18"/>
      <c r="Q538" s="18"/>
      <c r="R538" s="18"/>
    </row>
    <row r="539" spans="16:18" ht="14.25" customHeight="1" x14ac:dyDescent="0.3">
      <c r="P539" s="18"/>
      <c r="Q539" s="18"/>
      <c r="R539" s="18"/>
    </row>
    <row r="540" spans="16:18" ht="14.25" customHeight="1" x14ac:dyDescent="0.3">
      <c r="P540" s="18"/>
      <c r="Q540" s="18"/>
      <c r="R540" s="18"/>
    </row>
    <row r="541" spans="16:18" ht="14.25" customHeight="1" x14ac:dyDescent="0.3">
      <c r="P541" s="18"/>
      <c r="Q541" s="18"/>
      <c r="R541" s="18"/>
    </row>
    <row r="542" spans="16:18" ht="14.25" customHeight="1" x14ac:dyDescent="0.3">
      <c r="P542" s="18"/>
      <c r="Q542" s="18"/>
      <c r="R542" s="18"/>
    </row>
    <row r="543" spans="16:18" ht="14.25" customHeight="1" x14ac:dyDescent="0.3">
      <c r="P543" s="18"/>
      <c r="Q543" s="18"/>
      <c r="R543" s="18"/>
    </row>
    <row r="544" spans="16:18" ht="14.25" customHeight="1" x14ac:dyDescent="0.3">
      <c r="P544" s="18"/>
      <c r="Q544" s="18"/>
      <c r="R544" s="18"/>
    </row>
    <row r="545" spans="16:18" ht="14.25" customHeight="1" x14ac:dyDescent="0.3">
      <c r="P545" s="18"/>
      <c r="Q545" s="18"/>
      <c r="R545" s="18"/>
    </row>
    <row r="546" spans="16:18" ht="14.25" customHeight="1" x14ac:dyDescent="0.3">
      <c r="P546" s="18"/>
      <c r="Q546" s="18"/>
      <c r="R546" s="18"/>
    </row>
    <row r="547" spans="16:18" ht="14.25" customHeight="1" x14ac:dyDescent="0.3">
      <c r="P547" s="18"/>
      <c r="Q547" s="18"/>
      <c r="R547" s="18"/>
    </row>
    <row r="548" spans="16:18" ht="14.25" customHeight="1" x14ac:dyDescent="0.3">
      <c r="P548" s="18"/>
      <c r="Q548" s="18"/>
      <c r="R548" s="18"/>
    </row>
    <row r="549" spans="16:18" ht="14.25" customHeight="1" x14ac:dyDescent="0.3">
      <c r="P549" s="18"/>
      <c r="Q549" s="18"/>
      <c r="R549" s="18"/>
    </row>
    <row r="550" spans="16:18" ht="14.25" customHeight="1" x14ac:dyDescent="0.3">
      <c r="P550" s="18"/>
      <c r="Q550" s="18"/>
      <c r="R550" s="18"/>
    </row>
    <row r="551" spans="16:18" ht="14.25" customHeight="1" x14ac:dyDescent="0.3">
      <c r="P551" s="18"/>
      <c r="Q551" s="18"/>
      <c r="R551" s="18"/>
    </row>
    <row r="552" spans="16:18" ht="14.25" customHeight="1" x14ac:dyDescent="0.3">
      <c r="P552" s="18"/>
      <c r="Q552" s="18"/>
      <c r="R552" s="18"/>
    </row>
    <row r="553" spans="16:18" ht="14.25" customHeight="1" x14ac:dyDescent="0.3">
      <c r="P553" s="18"/>
      <c r="Q553" s="18"/>
      <c r="R553" s="18"/>
    </row>
    <row r="554" spans="16:18" ht="14.25" customHeight="1" x14ac:dyDescent="0.3">
      <c r="P554" s="18"/>
      <c r="Q554" s="18"/>
      <c r="R554" s="18"/>
    </row>
    <row r="555" spans="16:18" ht="14.25" customHeight="1" x14ac:dyDescent="0.3">
      <c r="P555" s="18"/>
      <c r="Q555" s="18"/>
      <c r="R555" s="18"/>
    </row>
    <row r="556" spans="16:18" ht="14.25" customHeight="1" x14ac:dyDescent="0.3">
      <c r="P556" s="18"/>
      <c r="Q556" s="18"/>
      <c r="R556" s="18"/>
    </row>
    <row r="557" spans="16:18" ht="14.25" customHeight="1" x14ac:dyDescent="0.3">
      <c r="P557" s="18"/>
      <c r="Q557" s="18"/>
      <c r="R557" s="18"/>
    </row>
    <row r="558" spans="16:18" ht="14.25" customHeight="1" x14ac:dyDescent="0.3">
      <c r="P558" s="18"/>
      <c r="Q558" s="18"/>
      <c r="R558" s="18"/>
    </row>
    <row r="559" spans="16:18" ht="14.25" customHeight="1" x14ac:dyDescent="0.3">
      <c r="P559" s="18"/>
      <c r="Q559" s="18"/>
      <c r="R559" s="18"/>
    </row>
    <row r="560" spans="16:18" ht="14.25" customHeight="1" x14ac:dyDescent="0.3">
      <c r="P560" s="18"/>
      <c r="Q560" s="18"/>
      <c r="R560" s="18"/>
    </row>
    <row r="561" spans="16:18" ht="14.25" customHeight="1" x14ac:dyDescent="0.3">
      <c r="P561" s="18"/>
      <c r="Q561" s="18"/>
      <c r="R561" s="18"/>
    </row>
    <row r="562" spans="16:18" ht="14.25" customHeight="1" x14ac:dyDescent="0.3">
      <c r="P562" s="18"/>
      <c r="Q562" s="18"/>
      <c r="R562" s="18"/>
    </row>
    <row r="563" spans="16:18" ht="14.25" customHeight="1" x14ac:dyDescent="0.3">
      <c r="P563" s="18"/>
      <c r="Q563" s="18"/>
      <c r="R563" s="18"/>
    </row>
    <row r="564" spans="16:18" ht="14.25" customHeight="1" x14ac:dyDescent="0.3">
      <c r="P564" s="18"/>
      <c r="Q564" s="18"/>
      <c r="R564" s="18"/>
    </row>
    <row r="565" spans="16:18" ht="14.25" customHeight="1" x14ac:dyDescent="0.3">
      <c r="P565" s="18"/>
      <c r="Q565" s="18"/>
      <c r="R565" s="18"/>
    </row>
    <row r="566" spans="16:18" ht="14.25" customHeight="1" x14ac:dyDescent="0.3">
      <c r="P566" s="18"/>
      <c r="Q566" s="18"/>
      <c r="R566" s="18"/>
    </row>
    <row r="567" spans="16:18" ht="14.25" customHeight="1" x14ac:dyDescent="0.3">
      <c r="P567" s="18"/>
      <c r="Q567" s="18"/>
      <c r="R567" s="18"/>
    </row>
    <row r="568" spans="16:18" ht="14.25" customHeight="1" x14ac:dyDescent="0.3">
      <c r="P568" s="18"/>
      <c r="Q568" s="18"/>
      <c r="R568" s="18"/>
    </row>
    <row r="569" spans="16:18" ht="14.25" customHeight="1" x14ac:dyDescent="0.3">
      <c r="P569" s="18"/>
      <c r="Q569" s="18"/>
      <c r="R569" s="18"/>
    </row>
    <row r="570" spans="16:18" ht="14.25" customHeight="1" x14ac:dyDescent="0.3">
      <c r="P570" s="18"/>
      <c r="Q570" s="18"/>
      <c r="R570" s="18"/>
    </row>
    <row r="571" spans="16:18" ht="14.25" customHeight="1" x14ac:dyDescent="0.3">
      <c r="P571" s="18"/>
      <c r="Q571" s="18"/>
      <c r="R571" s="18"/>
    </row>
    <row r="572" spans="16:18" ht="14.25" customHeight="1" x14ac:dyDescent="0.3">
      <c r="P572" s="18"/>
      <c r="Q572" s="18"/>
      <c r="R572" s="18"/>
    </row>
    <row r="573" spans="16:18" ht="14.25" customHeight="1" x14ac:dyDescent="0.3">
      <c r="P573" s="18"/>
      <c r="Q573" s="18"/>
      <c r="R573" s="18"/>
    </row>
    <row r="574" spans="16:18" ht="14.25" customHeight="1" x14ac:dyDescent="0.3">
      <c r="P574" s="18"/>
      <c r="Q574" s="18"/>
      <c r="R574" s="18"/>
    </row>
    <row r="575" spans="16:18" ht="14.25" customHeight="1" x14ac:dyDescent="0.3">
      <c r="P575" s="18"/>
      <c r="Q575" s="18"/>
      <c r="R575" s="18"/>
    </row>
    <row r="576" spans="16:18" ht="14.25" customHeight="1" x14ac:dyDescent="0.3">
      <c r="P576" s="18"/>
      <c r="Q576" s="18"/>
      <c r="R576" s="18"/>
    </row>
    <row r="577" spans="16:18" ht="14.25" customHeight="1" x14ac:dyDescent="0.3">
      <c r="P577" s="18"/>
      <c r="Q577" s="18"/>
      <c r="R577" s="18"/>
    </row>
    <row r="578" spans="16:18" ht="14.25" customHeight="1" x14ac:dyDescent="0.3">
      <c r="P578" s="18"/>
      <c r="Q578" s="18"/>
      <c r="R578" s="18"/>
    </row>
    <row r="579" spans="16:18" ht="14.25" customHeight="1" x14ac:dyDescent="0.3">
      <c r="P579" s="18"/>
      <c r="Q579" s="18"/>
      <c r="R579" s="18"/>
    </row>
    <row r="580" spans="16:18" ht="14.25" customHeight="1" x14ac:dyDescent="0.3">
      <c r="P580" s="18"/>
      <c r="Q580" s="18"/>
      <c r="R580" s="18"/>
    </row>
    <row r="581" spans="16:18" ht="14.25" customHeight="1" x14ac:dyDescent="0.3">
      <c r="P581" s="18"/>
      <c r="Q581" s="18"/>
      <c r="R581" s="18"/>
    </row>
    <row r="582" spans="16:18" ht="14.25" customHeight="1" x14ac:dyDescent="0.3">
      <c r="P582" s="18"/>
      <c r="Q582" s="18"/>
      <c r="R582" s="18"/>
    </row>
    <row r="583" spans="16:18" ht="14.25" customHeight="1" x14ac:dyDescent="0.3">
      <c r="P583" s="18"/>
      <c r="Q583" s="18"/>
      <c r="R583" s="18"/>
    </row>
    <row r="584" spans="16:18" ht="14.25" customHeight="1" x14ac:dyDescent="0.3">
      <c r="P584" s="18"/>
      <c r="Q584" s="18"/>
      <c r="R584" s="18"/>
    </row>
    <row r="585" spans="16:18" ht="14.25" customHeight="1" x14ac:dyDescent="0.3">
      <c r="P585" s="18"/>
      <c r="Q585" s="18"/>
      <c r="R585" s="18"/>
    </row>
    <row r="586" spans="16:18" ht="14.25" customHeight="1" x14ac:dyDescent="0.3">
      <c r="P586" s="18"/>
      <c r="Q586" s="18"/>
      <c r="R586" s="18"/>
    </row>
    <row r="587" spans="16:18" ht="14.25" customHeight="1" x14ac:dyDescent="0.3">
      <c r="P587" s="18"/>
      <c r="Q587" s="18"/>
      <c r="R587" s="18"/>
    </row>
    <row r="588" spans="16:18" ht="14.25" customHeight="1" x14ac:dyDescent="0.3">
      <c r="P588" s="18"/>
      <c r="Q588" s="18"/>
      <c r="R588" s="18"/>
    </row>
    <row r="589" spans="16:18" ht="14.25" customHeight="1" x14ac:dyDescent="0.3">
      <c r="P589" s="18"/>
      <c r="Q589" s="18"/>
      <c r="R589" s="18"/>
    </row>
    <row r="590" spans="16:18" ht="14.25" customHeight="1" x14ac:dyDescent="0.3">
      <c r="P590" s="18"/>
      <c r="Q590" s="18"/>
      <c r="R590" s="18"/>
    </row>
    <row r="591" spans="16:18" ht="14.25" customHeight="1" x14ac:dyDescent="0.3">
      <c r="P591" s="18"/>
      <c r="Q591" s="18"/>
      <c r="R591" s="18"/>
    </row>
    <row r="592" spans="16:18" ht="14.25" customHeight="1" x14ac:dyDescent="0.3">
      <c r="P592" s="18"/>
      <c r="Q592" s="18"/>
      <c r="R592" s="18"/>
    </row>
    <row r="593" spans="16:18" ht="14.25" customHeight="1" x14ac:dyDescent="0.3">
      <c r="P593" s="18"/>
      <c r="Q593" s="18"/>
      <c r="R593" s="18"/>
    </row>
    <row r="594" spans="16:18" ht="14.25" customHeight="1" x14ac:dyDescent="0.3">
      <c r="P594" s="18"/>
      <c r="Q594" s="18"/>
      <c r="R594" s="18"/>
    </row>
    <row r="595" spans="16:18" ht="14.25" customHeight="1" x14ac:dyDescent="0.3">
      <c r="P595" s="18"/>
      <c r="Q595" s="18"/>
      <c r="R595" s="18"/>
    </row>
    <row r="596" spans="16:18" ht="14.25" customHeight="1" x14ac:dyDescent="0.3">
      <c r="P596" s="18"/>
      <c r="Q596" s="18"/>
      <c r="R596" s="18"/>
    </row>
    <row r="597" spans="16:18" ht="14.25" customHeight="1" x14ac:dyDescent="0.3">
      <c r="P597" s="18"/>
      <c r="Q597" s="18"/>
      <c r="R597" s="18"/>
    </row>
    <row r="598" spans="16:18" ht="14.25" customHeight="1" x14ac:dyDescent="0.3">
      <c r="P598" s="18"/>
      <c r="Q598" s="18"/>
      <c r="R598" s="18"/>
    </row>
    <row r="599" spans="16:18" ht="14.25" customHeight="1" x14ac:dyDescent="0.3">
      <c r="P599" s="18"/>
      <c r="Q599" s="18"/>
      <c r="R599" s="18"/>
    </row>
    <row r="600" spans="16:18" ht="14.25" customHeight="1" x14ac:dyDescent="0.3">
      <c r="P600" s="18"/>
      <c r="Q600" s="18"/>
      <c r="R600" s="18"/>
    </row>
    <row r="601" spans="16:18" ht="14.25" customHeight="1" x14ac:dyDescent="0.3">
      <c r="P601" s="18"/>
      <c r="Q601" s="18"/>
      <c r="R601" s="18"/>
    </row>
    <row r="602" spans="16:18" ht="14.25" customHeight="1" x14ac:dyDescent="0.3">
      <c r="P602" s="18"/>
      <c r="Q602" s="18"/>
      <c r="R602" s="18"/>
    </row>
  </sheetData>
  <mergeCells count="12">
    <mergeCell ref="A87:A106"/>
    <mergeCell ref="A7:A26"/>
    <mergeCell ref="A27:A46"/>
    <mergeCell ref="A47:A66"/>
    <mergeCell ref="A67:A86"/>
    <mergeCell ref="I2:R2"/>
    <mergeCell ref="I4:J4"/>
    <mergeCell ref="K4:L4"/>
    <mergeCell ref="I5:M5"/>
    <mergeCell ref="P5:P6"/>
    <mergeCell ref="Q5:Q6"/>
    <mergeCell ref="R5:R6"/>
  </mergeCells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SLP-Training</vt:lpstr>
      <vt:lpstr>SLP-Validation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Gana Pradipa</dc:creator>
  <dc:description/>
  <cp:lastModifiedBy>Shin Kim</cp:lastModifiedBy>
  <cp:revision>1</cp:revision>
  <dcterms:created xsi:type="dcterms:W3CDTF">2018-05-15T17:14:02Z</dcterms:created>
  <dcterms:modified xsi:type="dcterms:W3CDTF">2026-09-17T19:19:58Z</dcterms:modified>
  <dc:language>en-US</dc:language>
</cp:coreProperties>
</file>